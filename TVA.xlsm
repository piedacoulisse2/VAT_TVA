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5a26a171fce1d28/Documents/TVA validation des numéros/version mai 2020/"/>
    </mc:Choice>
  </mc:AlternateContent>
  <xr:revisionPtr revIDLastSave="190" documentId="13_ncr:1_{B12A7C0E-1A2E-42B2-AADB-7F91BBE04CC0}" xr6:coauthVersionLast="47" xr6:coauthVersionMax="47" xr10:uidLastSave="{F90B6EB0-1172-4AFB-8F02-1F3060AC1C92}"/>
  <bookViews>
    <workbookView xWindow="-108" yWindow="-108" windowWidth="23256" windowHeight="12456" tabRatio="702" xr2:uid="{609EFD8F-DA44-45B0-93ED-EA668ECFBB83}"/>
  </bookViews>
  <sheets>
    <sheet name="Vérification du Tableau" sheetId="1" r:id="rId1"/>
    <sheet name="Vérification à la volée" sheetId="2" r:id="rId2"/>
    <sheet name="Analyse" sheetId="4" r:id="rId3"/>
    <sheet name="Trouver un numéro de TVA FRANCE" sheetId="9" r:id="rId4"/>
  </sheets>
  <functionGroups builtInGroupCount="19"/>
  <definedNames>
    <definedName name="_xlchart.v5.0" hidden="1">Analyse!$B$16</definedName>
    <definedName name="_xlchart.v5.1" hidden="1">Analyse!$B$17:$B$44</definedName>
    <definedName name="_xlchart.v5.2" hidden="1">Analyse!$C$16</definedName>
    <definedName name="_xlchart.v5.3" hidden="1">Analyse!$C$17:$C$44</definedName>
    <definedName name="_xlcn.WorksheetConnection_Idée1A16A411" hidden="1">Analyse!$A$16:$A$41</definedName>
    <definedName name="Access_Token">'Trouver un numéro de TVA FRANCE'!$E$2</definedName>
    <definedName name="NBLIGNE">'Trouver un numéro de TVA FRANCE'!$D$1</definedName>
    <definedName name="Recherche_Entreprise">'Trouver un numéro de TVA FRANCE'!$B$8</definedName>
  </definedNames>
  <calcPr calcId="191029"/>
  <pivotCaches>
    <pivotCache cacheId="0" r:id="rId5"/>
  </pivotCaches>
  <extLst>
    <ext xmlns:x14="http://schemas.microsoft.com/office/spreadsheetml/2009/9/main" uri="{8193D73E-4604-4355-AFF4-8A2333D13BE4}">
      <x14:definedNames>
        <x14:definedName name="SirenINSEE">
          <x14:argumentDescriptions count="1">
            <x14:argumentDescription index="0">Positional argument 1</x14:argumentDescription>
          </x14:argumentDescriptions>
        </x14:definedName>
        <x14:definedName name="tv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va_addres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va_nam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va_requestDat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va_vali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Plage" name="Plage" connection="WorksheetConnection_Idée 1!$A$16:$A$4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" i="9" l="1"/>
  <c r="B19" i="1"/>
  <c r="B20" i="1"/>
  <c r="B21" i="1"/>
  <c r="B22" i="1"/>
  <c r="B23" i="1"/>
  <c r="B24" i="1"/>
  <c r="B25" i="1"/>
  <c r="B26" i="1"/>
  <c r="B27" i="1"/>
  <c r="B28" i="1"/>
  <c r="B29" i="1"/>
  <c r="C19" i="1"/>
  <c r="C20" i="1"/>
  <c r="C21" i="1"/>
  <c r="C22" i="1"/>
  <c r="C23" i="1"/>
  <c r="C24" i="1"/>
  <c r="C25" i="1"/>
  <c r="C26" i="1"/>
  <c r="C27" i="1"/>
  <c r="C28" i="1"/>
  <c r="C29" i="1"/>
  <c r="B5" i="9"/>
  <c r="B4" i="9"/>
  <c r="B3" i="9"/>
  <c r="F8" i="2"/>
  <c r="G5" i="2"/>
  <c r="F5" i="2"/>
  <c r="G11" i="2"/>
  <c r="G10" i="2"/>
  <c r="G9" i="2"/>
  <c r="G8" i="2"/>
  <c r="G7" i="2"/>
  <c r="G6" i="2"/>
  <c r="G4" i="2"/>
  <c r="G3" i="2"/>
  <c r="F11" i="2"/>
  <c r="F10" i="2"/>
  <c r="F9" i="2"/>
  <c r="F7" i="2"/>
  <c r="F6" i="2"/>
  <c r="F3" i="2"/>
  <c r="F4" i="2"/>
  <c r="E11" i="2"/>
  <c r="E10" i="2"/>
  <c r="E9" i="2"/>
  <c r="E8" i="2"/>
  <c r="E7" i="2"/>
  <c r="E6" i="2"/>
  <c r="E5" i="2"/>
  <c r="E4" i="2"/>
  <c r="E3" i="2"/>
  <c r="D11" i="2"/>
  <c r="D10" i="2"/>
  <c r="D9" i="2"/>
  <c r="D8" i="2"/>
  <c r="D7" i="2"/>
  <c r="D6" i="2"/>
  <c r="D5" i="2"/>
  <c r="D4" i="2"/>
  <c r="D3" i="2"/>
  <c r="B5" i="2" l="1"/>
  <c r="B6" i="2"/>
  <c r="B7" i="2"/>
  <c r="B8" i="2"/>
  <c r="B9" i="2"/>
  <c r="B10" i="2"/>
  <c r="B11" i="2"/>
  <c r="C5" i="2"/>
  <c r="C6" i="2"/>
  <c r="C7" i="2"/>
  <c r="C8" i="2"/>
  <c r="C9" i="2"/>
  <c r="C10" i="2"/>
  <c r="C11" i="2"/>
  <c r="C25" i="4"/>
  <c r="C27" i="4"/>
  <c r="C30" i="4"/>
  <c r="C18" i="4"/>
  <c r="C20" i="4"/>
  <c r="C21" i="4"/>
  <c r="B4" i="1"/>
  <c r="C4" i="1"/>
  <c r="B5" i="1"/>
  <c r="C5" i="1"/>
  <c r="B6" i="1"/>
  <c r="C6" i="1"/>
  <c r="B7" i="1"/>
  <c r="C17" i="4" s="1"/>
  <c r="C7" i="1"/>
  <c r="B8" i="1"/>
  <c r="C8" i="1"/>
  <c r="B9" i="1"/>
  <c r="C9" i="1"/>
  <c r="B10" i="1"/>
  <c r="C10" i="1"/>
  <c r="B11" i="1"/>
  <c r="C11" i="1"/>
  <c r="B12" i="1"/>
  <c r="C12" i="1"/>
  <c r="B13" i="1"/>
  <c r="C13" i="1"/>
  <c r="B14" i="1"/>
  <c r="C14" i="1"/>
  <c r="B15" i="1"/>
  <c r="C15" i="1"/>
  <c r="B16" i="1"/>
  <c r="C16" i="1"/>
  <c r="B17" i="1"/>
  <c r="C17" i="1"/>
  <c r="B18" i="1"/>
  <c r="C18" i="1"/>
  <c r="C3" i="1"/>
  <c r="B3" i="1"/>
  <c r="C22" i="4" s="1"/>
  <c r="C40" i="4" l="1"/>
  <c r="C39" i="4"/>
  <c r="C38" i="4"/>
  <c r="C19" i="4"/>
  <c r="C36" i="4"/>
  <c r="C35" i="4"/>
  <c r="C29" i="4"/>
  <c r="C37" i="4"/>
  <c r="C34" i="4"/>
  <c r="C28" i="4"/>
  <c r="C33" i="4"/>
  <c r="C44" i="4"/>
  <c r="C32" i="4"/>
  <c r="C26" i="4"/>
  <c r="C43" i="4"/>
  <c r="C31" i="4"/>
  <c r="C42" i="4"/>
  <c r="C23" i="4"/>
  <c r="C24" i="4"/>
  <c r="C41" i="4"/>
  <c r="C4" i="2"/>
  <c r="B4" i="2"/>
  <c r="C3" i="2"/>
  <c r="B3" i="2"/>
  <c r="A1" i="2" s="1"/>
  <c r="A1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5514D1C-D688-4846-BB37-4864D7A33F93}" keepAlive="1" name="ThisWorkbookDataModel" description="Modèle de donnée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5C4B4715-87F7-475A-A8ED-92EBCBC2B333}" name="WorksheetConnection_Idée 1!$A$16:$A$41" type="102" refreshedVersion="6" minRefreshableVersion="5">
    <extLst>
      <ext xmlns:x15="http://schemas.microsoft.com/office/spreadsheetml/2010/11/main" uri="{DE250136-89BD-433C-8126-D09CA5730AF9}">
        <x15:connection id="Plage">
          <x15:rangePr sourceName="_xlcn.WorksheetConnection_Idée1A16A411"/>
        </x15:connection>
      </ext>
    </extLst>
  </connection>
</connections>
</file>

<file path=xl/sharedStrings.xml><?xml version="1.0" encoding="utf-8"?>
<sst xmlns="http://schemas.openxmlformats.org/spreadsheetml/2006/main" count="173" uniqueCount="141">
  <si>
    <t xml:space="preserve">Code TVA </t>
  </si>
  <si>
    <t>Code Valide</t>
  </si>
  <si>
    <t>Nom de la société</t>
  </si>
  <si>
    <t>Adresse de la société</t>
  </si>
  <si>
    <t>Code Pays</t>
  </si>
  <si>
    <t>FR27440117620</t>
  </si>
  <si>
    <t>FR27440117621</t>
  </si>
  <si>
    <t>Code Brut</t>
  </si>
  <si>
    <t>SA GRTGAZ</t>
  </si>
  <si>
    <t>6 RUE RAOUL NORDLING
92270 BOIS COLOMBES</t>
  </si>
  <si>
    <t>---</t>
  </si>
  <si>
    <t>FR51451609606</t>
  </si>
  <si>
    <t>SLRL ARSENE</t>
  </si>
  <si>
    <t>Date de la requête</t>
  </si>
  <si>
    <t>FR13542107651</t>
  </si>
  <si>
    <t>FR59542051180 </t>
  </si>
  <si>
    <t>SA ENGIE</t>
  </si>
  <si>
    <t>FAUBOURG DE L'ARCHE [A3220]
1 PL SAMUEL DE CHAMPLAIN
92400 COURBEVOIE</t>
  </si>
  <si>
    <t>FR59542051180</t>
  </si>
  <si>
    <t>FR35380415125</t>
  </si>
  <si>
    <t>LA DEFENSE 6
2 PL JEAN MILLIER
92400 COURBEVOIE</t>
  </si>
  <si>
    <t>SAS EDF INTERNATIONAL</t>
  </si>
  <si>
    <t>20 PL DE LA DEFENSE
92800 PUTEAUX</t>
  </si>
  <si>
    <t>FR65501706360</t>
  </si>
  <si>
    <t>SASU EP FRANCE</t>
  </si>
  <si>
    <t>FR39491388914</t>
  </si>
  <si>
    <t>FR05790113724</t>
  </si>
  <si>
    <t>FR01572126043</t>
  </si>
  <si>
    <t>155-159
155 RUE ANATOLE FRANCE
92300 LEVALLOIS PERRET</t>
  </si>
  <si>
    <t>SASU TEREGA</t>
  </si>
  <si>
    <t>40 AV DE L'EUROPE
64000 PAU</t>
  </si>
  <si>
    <t>SAS ANTARGAZ</t>
  </si>
  <si>
    <t>FR94444786511</t>
  </si>
  <si>
    <t>FR71842361826</t>
  </si>
  <si>
    <t>SA GRDF</t>
  </si>
  <si>
    <t>SCI ESSOR ENEDIS BLOIS</t>
  </si>
  <si>
    <t>Nombre de Code Brut</t>
  </si>
  <si>
    <t>Étiquettes de lignes</t>
  </si>
  <si>
    <t>FAUX</t>
  </si>
  <si>
    <t>VRAI</t>
  </si>
  <si>
    <t>Total général</t>
  </si>
  <si>
    <t>Allemagne</t>
  </si>
  <si>
    <t>Autriche</t>
  </si>
  <si>
    <t>Belgique</t>
  </si>
  <si>
    <t>Bulgarie</t>
  </si>
  <si>
    <t>Chypre</t>
  </si>
  <si>
    <t>Croatie</t>
  </si>
  <si>
    <t>Danemark</t>
  </si>
  <si>
    <t>Espagne</t>
  </si>
  <si>
    <t>Estonie</t>
  </si>
  <si>
    <t>Finlande</t>
  </si>
  <si>
    <t>France</t>
  </si>
  <si>
    <t>Grèce</t>
  </si>
  <si>
    <t>Hongrie</t>
  </si>
  <si>
    <t>Irlande</t>
  </si>
  <si>
    <t>Italie</t>
  </si>
  <si>
    <t>Lettonie</t>
  </si>
  <si>
    <t>Lituanie</t>
  </si>
  <si>
    <t>Luxembourg</t>
  </si>
  <si>
    <t>Malte</t>
  </si>
  <si>
    <t>Pays-Bas</t>
  </si>
  <si>
    <t>Pologne</t>
  </si>
  <si>
    <t>Portugal</t>
  </si>
  <si>
    <t>République Tchèque</t>
  </si>
  <si>
    <t>Roumanie</t>
  </si>
  <si>
    <t>Royaume-Uni</t>
  </si>
  <si>
    <t>Slovaquie</t>
  </si>
  <si>
    <t>Slovénie</t>
  </si>
  <si>
    <t>Suède</t>
  </si>
  <si>
    <t>DE</t>
  </si>
  <si>
    <t>AT</t>
  </si>
  <si>
    <t>BE</t>
  </si>
  <si>
    <t>BG</t>
  </si>
  <si>
    <t>CY</t>
  </si>
  <si>
    <t>HR</t>
  </si>
  <si>
    <t>DK</t>
  </si>
  <si>
    <t>ES</t>
  </si>
  <si>
    <t>EE</t>
  </si>
  <si>
    <t>FI</t>
  </si>
  <si>
    <t>FR</t>
  </si>
  <si>
    <t>EL</t>
  </si>
  <si>
    <t>HU</t>
  </si>
  <si>
    <t>IE</t>
  </si>
  <si>
    <t>IT</t>
  </si>
  <si>
    <t>LV</t>
  </si>
  <si>
    <t>LT</t>
  </si>
  <si>
    <t>LU</t>
  </si>
  <si>
    <t>MT</t>
  </si>
  <si>
    <t>NL</t>
  </si>
  <si>
    <t>PL</t>
  </si>
  <si>
    <t>PT</t>
  </si>
  <si>
    <t>CZ</t>
  </si>
  <si>
    <t>RO</t>
  </si>
  <si>
    <t>GB</t>
  </si>
  <si>
    <t>SK</t>
  </si>
  <si>
    <t>SI</t>
  </si>
  <si>
    <t>SE</t>
  </si>
  <si>
    <t>FR3949 1388914</t>
  </si>
  <si>
    <t>N° de TVA</t>
  </si>
  <si>
    <t>Validité</t>
  </si>
  <si>
    <t>Nom Société</t>
  </si>
  <si>
    <t>Recherche d'une Entreprise</t>
  </si>
  <si>
    <t>ENGIE</t>
  </si>
  <si>
    <t>N° de SIRENE</t>
  </si>
  <si>
    <t>FR76352007363</t>
  </si>
  <si>
    <t>FR50428629562</t>
  </si>
  <si>
    <t>FR7452242290</t>
  </si>
  <si>
    <t>FR8509465274</t>
  </si>
  <si>
    <t>FR75512724949</t>
  </si>
  <si>
    <t>FR30518319215</t>
  </si>
  <si>
    <t>FR75522674142</t>
  </si>
  <si>
    <t>FR19501035331</t>
  </si>
  <si>
    <t>10 RUE CHANTEMERLE
77590 BOIS LE ROI</t>
  </si>
  <si>
    <t>FR88626620090</t>
  </si>
  <si>
    <t>FR54572215721</t>
  </si>
  <si>
    <t>FR50815195417</t>
  </si>
  <si>
    <t>SARL TOTAL RENOV</t>
  </si>
  <si>
    <t>SARL TOTAL RENOVATION</t>
  </si>
  <si>
    <t>Clé API INSEE*</t>
  </si>
  <si>
    <t>*Access Token</t>
  </si>
  <si>
    <t>9edacf79-703e-380c-a10a-8397dcfe66d2</t>
  </si>
  <si>
    <t>Trouver rapidement avec le SIREN</t>
  </si>
  <si>
    <t>* Uniquement des valeurs dans le tableau "Vérification du Tableau"</t>
  </si>
  <si>
    <t>Trouver avec la denomination d'unite légale</t>
  </si>
  <si>
    <t>32 RUE DE MONCEAU
75008 PARIS</t>
  </si>
  <si>
    <t>2 RUE BERTHELOT
92400 COURBEVOIE</t>
  </si>
  <si>
    <t>-
6 RUE CONDORCET
75009 PARIS</t>
  </si>
  <si>
    <t>SAS GAZPROM MARKETING ET TRADING FRANCE</t>
  </si>
  <si>
    <t>RUE COPERNIC
41260 LA CHAUSSEE ST VICTOR</t>
  </si>
  <si>
    <t>IMMEUBLE REFLEX LES RENARDIERES
4 PL VICTOR HUGO
92400 COURBEVOIE</t>
  </si>
  <si>
    <t>SE TOTAL SE</t>
  </si>
  <si>
    <t>2 PL JEAN MILLIER
92400 COURBEVOIE</t>
  </si>
  <si>
    <t>SAS TOTALENERGIES PARTICIPATIONS</t>
  </si>
  <si>
    <t>38 RUE DE COURLANCY
51100 REIMS</t>
  </si>
  <si>
    <t>SA TOTAL EP RUSSIE</t>
  </si>
  <si>
    <t>Colonne2</t>
  </si>
  <si>
    <t>Colonne3</t>
  </si>
  <si>
    <t>Colonne4</t>
  </si>
  <si>
    <t>Colonne5</t>
  </si>
  <si>
    <t>Erreur d'authentification à l'API. Vérifier la clé de l'API INSEE.</t>
  </si>
  <si>
    <t>Erreur API INSEE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</si>
</sst>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ourier New"/>
      <family val="3"/>
    </font>
    <font>
      <b/>
      <sz val="12"/>
      <color theme="7" tint="-0.249977111117893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/>
    <xf numFmtId="49" fontId="0" fillId="0" borderId="0" xfId="0" applyNumberFormat="1"/>
    <xf numFmtId="0" fontId="2" fillId="3" borderId="1" xfId="0" quotePrefix="1" applyNumberFormat="1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0" xfId="0" applyFont="1" applyFill="1" applyAlignment="1">
      <alignment horizontal="center" vertical="center"/>
    </xf>
    <xf numFmtId="0" fontId="0" fillId="0" borderId="0" xfId="0" applyFont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49" fontId="0" fillId="2" borderId="1" xfId="0" applyNumberFormat="1" applyFill="1" applyBorder="1" applyAlignment="1">
      <alignment horizontal="center" vertical="center"/>
    </xf>
    <xf numFmtId="0" fontId="0" fillId="3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14" fontId="0" fillId="4" borderId="1" xfId="0" applyNumberForma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2" xfId="0" applyNumberFormat="1" applyFill="1" applyBorder="1" applyAlignment="1">
      <alignment horizontal="center" vertical="center"/>
    </xf>
    <xf numFmtId="14" fontId="0" fillId="4" borderId="3" xfId="0" applyNumberFormat="1" applyFill="1" applyBorder="1" applyAlignment="1">
      <alignment horizontal="center" vertical="center"/>
    </xf>
    <xf numFmtId="49" fontId="0" fillId="2" borderId="7" xfId="0" applyNumberFormat="1" applyFill="1" applyBorder="1" applyAlignment="1">
      <alignment horizontal="center" vertical="center"/>
    </xf>
    <xf numFmtId="0" fontId="2" fillId="3" borderId="8" xfId="0" quotePrefix="1" applyNumberFormat="1" applyFont="1" applyFill="1" applyBorder="1" applyAlignment="1">
      <alignment horizontal="center" vertical="center"/>
    </xf>
    <xf numFmtId="0" fontId="0" fillId="3" borderId="8" xfId="0" applyNumberFormat="1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14" fontId="0" fillId="4" borderId="9" xfId="0" applyNumberFormat="1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 wrapText="1"/>
    </xf>
    <xf numFmtId="0" fontId="1" fillId="5" borderId="4" xfId="0" applyFont="1" applyFill="1" applyBorder="1" applyAlignment="1">
      <alignment horizontal="center" vertical="center"/>
    </xf>
    <xf numFmtId="0" fontId="1" fillId="5" borderId="5" xfId="0" applyFont="1" applyFill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6" borderId="0" xfId="0" applyFill="1"/>
    <xf numFmtId="0" fontId="0" fillId="6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13" xfId="0" applyFont="1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0" fontId="0" fillId="6" borderId="14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6" borderId="16" xfId="0" applyFill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" fillId="3" borderId="1" xfId="0" applyNumberFormat="1" applyFont="1" applyFill="1" applyBorder="1" applyAlignment="1">
      <alignment horizontal="center" vertical="center"/>
    </xf>
    <xf numFmtId="0" fontId="2" fillId="3" borderId="8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1" fillId="6" borderId="10" xfId="0" applyFont="1" applyFill="1" applyBorder="1" applyAlignment="1">
      <alignment horizontal="center" vertical="center"/>
    </xf>
    <xf numFmtId="0" fontId="1" fillId="8" borderId="18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3" fillId="7" borderId="11" xfId="0" applyFont="1" applyFill="1" applyBorder="1" applyAlignment="1">
      <alignment horizontal="center" vertical="center"/>
    </xf>
    <xf numFmtId="0" fontId="3" fillId="7" borderId="12" xfId="0" applyFont="1" applyFill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</cellXfs>
  <cellStyles count="1">
    <cellStyle name="Normal" xfId="0" builtinId="0"/>
  </cellStyles>
  <dxfs count="30"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9" formatCode="dd/mm/yyyy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5" Type="http://schemas.openxmlformats.org/officeDocument/2006/relationships/customXml" Target="../customXml/item4.xml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[TVA.xlsm]Analyse!Tableau croisé dynamique1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VRAI représente la majorité des « Code Valide ».*</a:t>
            </a:r>
          </a:p>
        </c:rich>
      </c:tx>
      <c:layout>
        <c:manualLayout>
          <c:xMode val="edge"/>
          <c:yMode val="edge"/>
          <c:x val="0.12980703800913776"/>
          <c:y val="3.943661971830986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Analyse!$B$2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88-4212-BBF5-AB2B2CD35F2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A4D5-4323-BFDF-E7FE23ACDB41}"/>
              </c:ext>
            </c:extLst>
          </c:dPt>
          <c:cat>
            <c:strRef>
              <c:f>Analyse!$A$3:$A$5</c:f>
              <c:strCache>
                <c:ptCount val="2"/>
                <c:pt idx="0">
                  <c:v>VRAI</c:v>
                </c:pt>
                <c:pt idx="1">
                  <c:v>FAUX</c:v>
                </c:pt>
              </c:strCache>
            </c:strRef>
          </c:cat>
          <c:val>
            <c:numRef>
              <c:f>Analyse!$B$3:$B$5</c:f>
              <c:numCache>
                <c:formatCode>General</c:formatCode>
                <c:ptCount val="2"/>
                <c:pt idx="0">
                  <c:v>11</c:v>
                </c:pt>
                <c:pt idx="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88-4212-BBF5-AB2B2CD35F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_xlchart.v5.1</cx:f>
        <cx:nf>_xlchart.v5.0</cx:nf>
      </cx:strDim>
      <cx:numDim type="colorVal">
        <cx:f>_xlchart.v5.3</cx:f>
        <cx:nf>_xlchart.v5.2</cx:nf>
      </cx:numDim>
    </cx:data>
  </cx:chartData>
  <cx:chart>
    <cx:title pos="t" align="ctr" overlay="0">
      <cx:tx>
        <cx:txData>
          <cx:v>Emplacement géographique*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bg1">
                  <a:lumMod val="50000"/>
                </a:schemeClr>
              </a:solidFill>
            </a:defRPr>
          </a:pPr>
          <a:r>
            <a:rPr lang="fr-FR" sz="1400" b="0" i="0" u="none" strike="noStrike" baseline="0">
              <a:solidFill>
                <a:schemeClr val="bg1">
                  <a:lumMod val="50000"/>
                </a:schemeClr>
              </a:solidFill>
              <a:latin typeface="Calibri" panose="020F0502020204030204"/>
            </a:rPr>
            <a:t>Emplacement géographique*</a:t>
          </a:r>
        </a:p>
      </cx:txPr>
    </cx:title>
    <cx:plotArea>
      <cx:plotAreaRegion>
        <cx:series layoutId="regionMap" uniqueId="{54CA1724-724A-4DD0-8A64-FAD25BC1DED4}">
          <cx:tx>
            <cx:txData>
              <cx:f/>
              <cx:v>N° TVA</cx:v>
            </cx:txData>
          </cx:tx>
          <cx:dataLabels/>
          <cx:dataId val="0"/>
          <cx:layoutPr>
            <cx:geography viewedRegionType="dataOnly" cultureLanguage="fr-FR" cultureRegion="FR" attribution="Avec Bing">
              <cx:geoCache provider="{E9337A44-BEBE-4D9F-B70C-5C5E7DAFC167}">
                <cx:binary>7HzZctw4tu2vVNTzpYrEjI7uE9Ekc1IOmiXbLwzZVnEmSAAcv6j7O/rHzs6UBymtajviKMJ+uC9U
kkgkwT2uvTaov38Y/vaheLjXvw1lUZm/fRj+8Xtibf23P/4wH5KH8t6clOkHrYz60558UOUf6s8/
0w8Pf3zU931axX8g1yN/fEjutX0Yfv+fv8OvxQ9qoz7c21RVF+2DHi8fTFtY81/GXhz67YNqK7uf
HsMv/eP38L6C1ej8998eKpva8XqsH/7x+7Mv/f7bH8c/9c1tfytgZbb9CHMpO0EMIU6ZpMJ1ufB+
/61QVfxpWJ5gzDBlHsMuItJF+POtd/clTP+RBR2Wc//xo34w5rdPf5/OfLb8pwOpUcHj8wdqv9Zw
fXi4P57L93/+fnQBHvfoyhMVHMvme0PHGvhnUYAG4urhsxxeQQXeiYc84XJXCiwE4+iZCjz3hLgu
k0QQ7sFfTD7f+lEFP7Sil3XwZOqREp6MfKOF2c/XwvWH5D//btr0FbVA5AnH0nMpQoS5EnP6XAsU
PMGjrutSTFzKGSjp0QcftfBDK3pZC0+mHmnhycixFoJ3P18LmwdrVfWaSoBoJCiWwnPBHxgjLnum
BEROJOIEohEiHqHUFc+V8CMLelkHX2ceqeDrwLEGNrc/XwP/bK1OIUN9FsP/PRgRfkIFdwXlCAsO
SQEC/pN84JETj3hIUCEhI3iIf77zp1j0A+t5WQFfn+RIAV8HjhXwz+ufrwD/oYjTpn1FBVD3hBHP
AwUwl0jhEhDxEwWQE8ZcSgVCmCOCGT2KQz+yoJc18HXmkQa+DhxrwJ/9fA3MTP266Zi4J58s30PP
c4CDTyjlWEjJCZWgpOMk8ANreVn2XyYeif7L9WPJz65+vuT9tojv9WuGf4JOOIXgw7nLqQex5zkY
RfRkH5RcVzDGpESefB59fmRBL8v/68wjBXwdONaAv/j5GpinVXFffXzF6MPICQheCECiHiVIMhDx
k+iDoFoQCOzfwx4mnFHIz09R0I8s6GUNfJ15pIGvA8camK9+vgaCZKz1K8ofA8LxOHG5FJK6exd4
Jn+MTqBMk5AeJH30kOfy//5yXpb+53lHsv98+VjywdtfQPJaQRH7iqInFKANFFrCpcT7FF2emL7H
Tgji2IUqgCAXHOSoDAu+v56/kP3nicfC/3z9WPrLy58v/U07PJTvVavjzwb4CtATKjDOBEZARNBv
wT87cSXCWIJqKMLeN3Xwjy3pZR08nXukhqdDx5rY3Px8TczMa9dg4gSUwCDNEiwJ5ODndAQkYWAp
OGB/Ijwm4BufLeCxBPiB9bysgy8TjxTw5fqx9Gezny/9ub6vPrxmEGInDLggqG7xY/17JPwTAumZ
8H0VzIkE1u658L+/nJdl/3nekeg/Xz6W/PwXiEAL/Z9/vabkMVCdIFMg4DyEoMCiR8gHnVDuIcgO
YPWMuhiGnyKf7y/nZcl/nnck+c+XjyW/+AUkvwR6+HVhPz/xGNg1HECuLjsquzx5ApSDSwhF1CMM
eNDnov+B9bws+y8Tj4T/5fqx9Je/QLxf6VeG/BSfQMCRe85nb+GALp9BTkcALII4z6EgkFy631j+
DyzoZfF/mXgk/i/Xj8W/+gUC/sreF6+KOoFTQNBXATzJwAOOGU8PgWtAQsCcgfgZOyI8v7+avxD9
p6c4lvyny98I/hdg2jbQkbp/XbJ5T+mDWUOxBXwzPQ47CJ8IgSkhQDSIfTfgabj/kdW8LPqvM4+E
/3XgWPybX0D8l2q8b8sH56ZKP0vi/474IfRIyLgYLBx5wGm6z6tdB3IuhVIAuxCdXECcCELTUy38
4KJeVsSzyUe6eDZ2rI6F//Nx5/a+sK8IOzGAegm0MlRWn5i3ZzkAWH+oBaDxBY6A96D/yBu+u5qX
NfBp2pHsP109lvr2F3CC8/vROP69+WyFr+AB6AQRoPopE8zFFKLQM8HTEwoMv0c9CFJcAPY8wvs/
sqCXZf915pH4vw4ca2C3+fl2f660beP74vU0ALifcSmBdKaIQN111HJ0+IkE3QA8RZCjqYDm5Od7
P9a7P7Kiv1DBl2c5VsGXgWMVnP8KTqAK9br7HwDjAATCkjNCXCCdn3e8AP5jaMdDhqYYE8KPe47n
31/PX8n/04N8I/5P17+R/i/gAFeF6u5feeeDOIF+CxF74h86W7D54VkM2pdfgkAvmGHEJJBCz+3/
hxb0sgKeTD1SwZORYyVc/QKbgC7/8++6fV/sG7+/7fdo/OtVO8D/fyfK0z1zB9M53k53vCvrUrXl
6xYH0A2AWO9hl7ge8zyMIOw/6Qbsd6JAxQaQiEPogtj1DTL9/oJedoqvj3LkE18Hjl3i8uznJ+a9
x/7n369anxF24kEHjDLouwD6P+6FASgVyIO6GHqRCDL0cXHwQyt6WQdPph4p4cnIsRauVr+AFtr/
/OtV28HoIOM9PQRtr30z4JkXQE+MY4qF60FWRhIq5aPc8N3l/IX8P807Fv6ny99I/lV4ob/eM/pl
/2x4b+9nh423T7aN/vfRz+HraOqnMvbFAuKxwl19/Mfvh4L3y3be/U88K3+vugedxl/KwC8zHu6N
hcmwVQtyOXjOgTnie1jVP+xHPO8E4O6+2SmgmwmwFmJbBZgz+cfvTJ488q9GtftzuudIoB+6b/h4
/MCDfH4iwF1jrKovj//p/LeqLc9VWlnzj98J2EP9+LX94sCLEaMANGDbElArsIUDypn6w/0l7KGG
b3v/zxsaBVwjSmY2dqtNWzrDuRyKdlM1Ylu5522SVB/KmqJgQNju4IonUxm2DU6u4iKuLqdxPVGZ
+J5QaDEVwt2ITEf+6HVJQKLCnHVmjFaOKi6raIq3iaHTPO6cNGSx4y1jK8kyrdMocFTVhxVaO32P
V4h39YKwXPpj1vtZZtPEjzlf4HHKAgODt6rzkzyjYReXdJkkTXd1CAWP+5RfkAvbP/czuVAuqMtg
1yPw35BwoL5+KhdWITkMthlCU3lwd6WcetnIJvb7uB13JBHO7TSOfjkUJLAEVQsPO+ay5qaZO2MY
lzqa55lhF6MudTB0DV3EA0nmSonYj+tpeJflTuwPxkWzxBMoEE2ZbKOeZQHh5RB6ROlFNkV2QaPS
9e1YjRvCrfIr4+ENphbfTMnw6TSjpV9F/M5t2ZpYxLdof8g9t5klbV4HnueIyc8zdalk01wDwYPW
g+KNH1k0Xesm0hcJR7PDWdR17rVT8hnKi+ZCRql73Rml/dJqb833p8kY4TCZBhPIoUr8fEL4rkca
FDLhaXs4NXcFaezyv6uEfKsS0AjmsAEPsjzneG/KT0w1GTLBVUHbkOk5qqePHfKiu6FjelFiN5+X
KnPuqLWdX0pJtolm2V2brRzUJLdFcuN447gmOK4b3+3qcW3yDgUgRxtGmwHo4F3bNmh3+NTtT7Gy
TtjElQya2BFLVZvaL5RQfoyiaJvU1t7F085zeH2bgwOfRRi/c0fEbuMkTGSMt+6Ez0askqsWFW+T
wbyfSrDvmvHBl7G1Nzmn8bZtHjc1/aXhYgD/zw0X6AkCm3HRPki4sEf9uZSGGGU8l1iHWniR73UM
3Vg0divLEhS4usI3TBZq2eC4hIWSMmx5EcJgamZCR6FVrm/6Gt+0UJgMfsp1FdCsJ2c5pKJFX6LR
R12bcp+LqA2tJyZQvNSjr3mxroepu6WwSW0ZuaRfuORjTzpv65qyXU5jQVZTaYetSAcn/O+2cdD9
M3dlsAWZAydP4Zlhn+aRuxqTDx3xHBO6mo2LPnUzcKtKbyZj8NZq2YRaVnyOE0eFNkv4ivYRD4pM
0NuY1808dYZxnjJRnk8iilYqKdrJr7s8XtKa7/I8PaWTRTdI6+Iizp1VNBoddKONdhRF1B9YZa56
oqq5l8vGr1I0nJKsck5bbaawKwcZ/PcHRt84A7yUsOdpAY1RaNAx97mas9rlNa6MDenQ52FGC7zh
uGjno8hKn2ZRs+rj+iZNRvHO8GGVd0LcNACulzJPL4s+r/aOazcVvHSzMV1mNzrVyPqH88MhdVm6
7Csm7hrpPVTJ6F2mqUGnDmnqGarL/DtPdFjxcxVy2MAJW9wY7KMV3sGwn7h3pcUwEEp06KbFEnMr
d6NN0SpTNV+MGOEwapMsKKsiCggpxyVEsLOuU6EzkWj99VB34l1WO866EYosatK0PnWKQJjUbf04
oWsvG5Mt+GN3KZo0RH0cn+vJiwNPdq2fGDJulU2nLdXpTvNJL4upvSTJOC2KaIIbRVW1YF39Joe0
sK04ibeyOn30A2V7vKvr0W9YJt5J7kShSC1d9kqd4jGOtiXNu1COXrWqHK1uTSH9ylZd2KrG244p
TTeib80sHxrnrk7RdnKw+YjlcOdFw3eiKRAF3wQKAdvaYP8Oh71VACSOAoVTDwWvEq8MG6cdA1Xw
cuYOva2Dqeu7wKSiX7mVGi7TQawb3uG7ApLgqilRHrYtltct8YqZBSpokSNbbFSkcRsMgzus4rK9
G6fO3XgkTq9qacjKToXnp8RNroSDrgntb2qR8zVLUerrQdOrPqYzouNZ1kl8zmXS+71m/dJL89jx
aZKe5p6xPtH1uET7ICZzVIVJ7emgFKLxO2+gV16S9SvjDnFQpb5bIcQWjdBZMORJOpMQyi5UMcxY
xuQqpQVfudKky3IUzXmftQFzC7vObUGvqt4MM6M+ZpPJV7Ek6FQ4GV4NtPjQjcW0KoiMt0Acl4HA
3RLhzAmYp+TZ4dBNkzwDI9b1fCRV+055URGqVnpB18fvHVrKq6aXTdC6YxyKvIb46XLtd64jhF8W
5A025bZJM3zTRwqFLKvlwnGbdmZSNs3t1DUL6/F8dgjlJUbNIpZePrPWi4JakibA9aD/dIy5Ssre
7fwhauq3KY2SRabpTZtxu+rlQHYQ+z4amzgr4uhyJ5tuXrLkTVSbaIayuA+cpBpPsS3hJ+qq6LZp
2elNHZm5KK9MW9d38HKa2qG4LPy27cYzdyzjxp8oe5tHQgX1AJkiU7T2y6Q3C0ywnsW2ZucANJjI
wfHaooz8VkpzWuTTRdFG0ledmMIxlfpSsfqNGkT5LpvqKozrzqzjnJFrXffrZn+9YryedWzs50PM
o3aR6DwPUiiLAkgA7anAfX1LSAwgx6Wa+k0ceX4vhvENo3cDq/uAGNYuHdyYyzxBIe5HPx0TtSsb
JoNP7uy1aUBrs46ayH03pVwFKcbxpVZr10401F0z3dEkufAKuDerWRH5Q52GWVXH2M96jE4BcxE9
7/PuHDUduZm6ZPJ1VGbXaWL4jMhpTnNcr1Ip4l0jaREiGvX3gIF86WZ2VmZtelqIoltMOYlnaJ/M
D6doOo/iHGDi3hWqL19oK9yeUXe8njh3ZrEp7KLee25bIWjxTzMxjtU7QlkKwb9MA9YRcNlCJ/k6
r5Li1GbiKtN5s2IIdwBo3TNB837XAyKNfB6nxZuCFCqsU5ydWeIsVN5HM5VGELZcY+cGAMVIeL6u
+cj9XuHMr/qcLJpK9FsPj1e6rScvxFVlTuWIyvPUQW5oOuKk/uBmHxSz8daZcLxlc/BOm3C+PLja
IOMmEG6D5ocIMiR1oMg4nItE+A28sXHW7n1u8nodaIiYc1VqER6+kdQFGgKRt/rBGdtoBMBdhBDp
oh0AkWh3+NSmQoUstShE2ntkFP4SjUG7aJ+In6Y1aM5BQQ47JBl0VDklR4m6jWzLnQR5AT9IO8kZ
3qBey4XbQGBosqm7LibWbLnvjN3NpJvxHN4KrSI/hiAWDTTS4Ntv3CbbVx75nxKXoRqbGZq6bjvl
VXVeF/VVnA4qn7u9xWG+z1LD2ERrC+/UrTPlTyklOyfNyc6jUQc+DGVTJPWF17vlFtfkdARst1Qk
nfzGOnRdk+pGW2PTeYyKwFJtz6b+7nEpeRODnlsnmAbBr4qmdoK+y2mgPdnMpwHib0QLO0dVx95M
fTHrJ9S9T9LuvJH2YxVZshlpXl8i67wTNfguz/Kdl/XVNYmyzI/zNt90lMydycYhAhR9g7DCYeOh
nWGYzGLdj2/MVPsmkmzRyRLkFNkirHr4PsNtclVm02YY4maeSWlXyq2K5WMctJkrwOwctbIpSfxp
nBrIfFLO6kbZy7Ip2VxnTRaSog90WqaXuRjRKhVlO3OL9oylXbs5yDuCxqBfTYNvOlN8HCFXbR/D
JB+roC7TMsjcfHpHuzLzpa6T2VQrMnd1o2aq7ZKLuEsjv/RqFhjVDb6isT3b91hOcZbdongoz4QT
fcA8ru/gVVxnOVTioh5rQVZCqIvGNMPykI6zsrrLR1WGfQ06zCBwh51FaKcxYcuKab1ifAwy6abL
BpHsahTDhwQqq3PDpo+48cSqbI2BoFh01i8cicNHK/Ji/ObgZ10BJY80dNdBsT9GQx8czMbubcci
HPmPj13lECZd1I/UH938LkG2WZZ7XBQbTwZOplwvnFjerR99uecGorGQM892cGOtx3eFzsiq6kkP
A2oMkiqTZ3VK5VnG6m5ded6uqjrgE1gxZbM855lf4ORe0WKgPsm08Me0T5d5vB32KEBP8bRMdcd8
3tRkR/cH3Xj1bDjEsbFu0nmBAFDsHeVwYFA8zx9HVdOpVZUxBDaA0nk2GjOLUOYBpG+TZex2d04m
Br9StnpTldnoO50rgqzTzbKZIGIDzARAWFp3gfLxzBsFnsXIJm8Z1vMkm8oPJSBA3YtNB2jj8vGA
xjJoVT1v03Yfl3ATTPWQ7OCtWDdw6ylgRJE/Y4p3NoOkNjWuj7nOe5+pBeftjrNerA9GPADk3diV
Q1WqfNWiy4QifpMn1JsB6xQmNrEr13B7buygA0oeXM9W903z0UycbWuPd/PYvi+oMO/iJE3mUWmL
GR+aKgGYrI3PHZQGGevMe5z0odOTdJmOZTnLeYR3Uo2AHGIF5t/HEtgZ5M2BJfBxNJJtDXrdiaiQ
obIGDGVIcRCxsnkrpN5H/4Nm+tisEAV/0+U4LHMz6UWlvHEOSO9WZn23pGN9XVS435acqZmD25Uq
l7msAdhLT/OwgmZx6JRpGg6N5ctmX8bqMb3JRv2xK1Moh0k0ybAuMuaboTVnZWL7Jfw/ATqTAw65
M+BLgGXDbDS0Cioh1ZI2yJnlRd68LTp+MfHqsi27ZcLVeNvl8rSjafrecdoPkM6A2GnzWcJE/97p
Oh0qbt5rF6JMXb0bSoNWeSNL301SfVZR6qxKa0kbVJ4AARDjIPjc1+OF8nQ3G2t7AVsE67ePLkYz
M57TPcqpCtiL2OTUz8ybQ+6YDJdLbcgQPKaSHsSe8TjOfFiQCHq3vTrE0TKHOqPkOJn3EYCVfaj0
utvJHYbVkEXiwqRQN6o+wbumBQsccsNOe/Dy2ZTMHgNo6/J44yiULBwWg5IcErhD2rwdabJ1ase9
miROl1lNrrOu82YQ0chtHFWA1PmiqCGC9/vA0XbXalT3BJX84zi4PvT/i3k5ymlt4ij3WzCZM4Ob
/hILes6Jkm+ksnSeQFG4aCIm3owx2rI+C3TJSr9WIl3hoeFzj/LmrFMYVgFZI4qpux4TDjSQnMwZ
/CeHEuAvya4H7k7gywXaNLR1bh3XXVZdohcTo10YaxXEE9NvpVT9PJcjm+cRnmlokC9SAh6E9rxb
2XRyMU4pCrWmlyDWdmPRQ2ugjhwJXrBo+JDbuJ85luA7lQCjV0C4CJLa4QFrK3b5KM6e5+ncDqi/
LG195pHpGkDXlRmq+s7JTRXkEsoRnkzOtvVaQFa2dJqFmACEqhKrVW1oNCshAIjogyiMDfISYTDo
YlpWTjqLBWRLTTrnnas2TMToAjA7gC+esdtoSqpzOWp62sTptTTCt9BY87t4rHGQ67T2FQF2L8VO
Fg44rdZSs/IWO/lsaqn7dpgU8tOmY9G69OLzQ6mCY+C6VPuG9pVKwtRMZiYTK/wM9eaMyEgu48w+
aM3fGa9JAzFk6Xk8gd99/dRXlM0k4w8A/YctIrE3117RrZMk/bNvkuraYeCeMfV8l2TONbK43XqJ
A1F+byRI2DTMccdOkZd6b/IbHht6pUx+PgGbNYupiU6rIgW6ZhyVz7ukWdPWQu17oMGcrEG+5zBy
lmC1h8lGBLVDMw41QVnNprj8AEhLrL24ZEHpQnlTtS1UnnsMqb4ASa/MmsAkbTJ/zIbxrSJ+PAAW
ViLJ7w6fpqmdD1rRpehqwC7pNHYBzuN1PsB9HjPaPmg29ZinF3Xh4FXfeBNYJankfMyM9IdCsJnI
E30jaPJxULgF7h0iRR3xC2uzOgl1NESzundYSKiZOZJ2sV8TPTONyYNcdGSXTeC8Wdk0AYv6OpTp
LU65vXbVpBaJlXI57itEN3IeBHHs0jpiQwQe3xDW+bRhdwrFxI8SVpy66bhuJ+oEbeqFZSXEOona
Uze2084m1Fy54KjOpMPapZsC3mBs/D4T3vpwUOmFph1d53HibShP8Owx2pmq6mdJI/MN41O+ycca
+XgYLkVezhmHhym5U0GYctUO6G12WkbOZQk9hW2Ogc1Ia9neqzgOeptHl+Xo9b5uROp3KHVuRVZl
IYs6cs4yL1/oHMBeiTO+65q8D4d61Kek0frSY9G5jGdmdIsbZViyi4DOJnlpAQ6LeJU0uLy2jo2X
dVe+j1yRBw3JktN+avibvAmQybzNOMFlq4leM1eYoKCsuq3N2aEayp0c6lhG54Oi5cVUZKl/AI0d
ciuoYoHksKR7K9I821og80JTcCjlCihUIFPwZU116euSOKd5l58ZgJbbRk7DquvH9dDGans41GKH
u8avbW/DuCsZOE8zBR4USJrSZnnAeDxCdseIswYplxD92hI0oSYf2jH1Sss0D+2hPhtpXM9YPY67
jLL3euhhhViMOzXJcje5BlgIIMy2SlVTWERD5ndtJ+buOH6YegI0rM7UrMigLH5EfSXPoebqm25m
+35/oBIQMtSyTR1ttNdvAfTesAhwYFMretvUNz2Y8Y2o6uKylXTVJuNc6zzexSw2F1FPfDLFm8aB
VNPs2SQotON12zkaHsQhVwQlzfbR1evcay+jglXXug1q3nrXxHDvuk/rc9c6p0Jp5zzNazUHoILW
xGGur+IEsLHQ/RIKs3SjPKcNI035WepKGwKyguqqEHFgmgQYp/22HWDELdmOmviHnCcYvbH51K0P
Z2SQwyaP1Wla1y0wrmJ0F1o3CViAm25r5r05EGJxDQun+6dSQ3IWp5z5uHcL/5F8UjLtfQo/8khI
yeaW8CK7ys2+tpDMXJqeJb41BQtY0jjzg3UlZtmKejMiE+1cnExXdQyFfTVM/cqRdrrqbQGweCqR
n0RwWqgI++1kkzk0/N1qnhXlMnY2jL2Na+PM+8RJ1hkgO+UfPhaHjwPrUjgv1bJlw8ppJL5Lk6Ja
JY71h6EZH1sQBLDVQhZ65inE9gxOMvp1kTi175QVW0DnNAkSmgHmH3Ov9GXN7y3n5SpKylWvRunN
eS7I3hkANumWVjMoH+NTxGIKgNNAJbBnvTpDbhm1XRZgS+96b3DXsi/msse5n1rFA7eBCiVX07Dx
nMYsTTZ0fj6ADpNIXgolSj9ycrWLvMxApw/acokuxstkgsbkBBa6JB0dLl0+xBd5mvsDVC9lkNdl
G5DELvImaXbKZOlslFV7Yzmufdrj9GOb6KAyfRb7SdVumoaU503TvRMyL9Y2LSBE4oReAUAKTK/i
8FEOdQG/XVhvVVUAhxhU83dqiG5c0xerupdXroPrPMxt2KSGbgsInIuB59pvCqR2luYPpMvG80cQ
gBsynOel3ErD7k3Rje+QUhAZDLAUsOcgD3Hdiivp1tu0r7y3NirlrM3RsIQUmftFWeKtiPPC1xQM
VuUN1FeJ8z6WyZmJnfoa+O1yHcXD2ciAFJ4VZcv91mOgTJlCeQd09BUAzTpMc15esw7o8wZ2QgNh
puO5EHk2AyYsuyQKwR1E08AonDaShx6bdGAdFzAATQWHwF8lQV8AJcAHCI16wup0SpsqMCjKQxJ3
aEZhB93cAqThuCd/jtCihV90z/IM8yBLSsBWEdAxMZlm9RCNoZiifoeBXuENaZMggmwTtuNAoGRT
s/JQhB6+sj/NC0t8VKXRLNp3IJgoojUGhLpK4mpljdOtUh7F81476l5AQBR2unfG8hqai/cxMHyi
LqJ9W1v4ANKrW55X+aoc4fEnbkwwtBRv0ZCRbas7vE0r7i28qr5vvJ6uaUTp+vCpHWUxiye3Cep+
1BcHAdvCieZZZ8WM9p4Jokq6m8NBcbGM0mY6lU1y6vVFoQLWqwEqwUXFkgr4L4jAWjjlciR1F9LK
hWYh8tSngqIiAzTPuD/ofNxiwezke9zxMcbprDMIuJoRjCwozAARw5670J46HyIzBGiQQDNn0IOu
o3bYyXRSl6UxNwNvsrcH8DJOfHjTmDRMKU5uc2B5N6UZVWCk67yBGmz2v1ydV5OsOrClfxERCM8r
rny13+6F2GcbCZCEMEKCXz+r6HPn3JkXAqh2VUjKzLW+VEfRUDAvrrNOJuNRSo60upbNdfMGcbNO
H1eJHNktntm/h46ElxpU6VPTLT+cNqz/IORm01Rvz5/OQG1pkxtjSrNQ95flXMLS9McvMIbgnYaP
SZaucybo1l+gcGEI7aeemV/tsfVXkvmsbv+J4/mokWzCy7dLMaddV2xuzS92anUlt3U+qi1a/1WU
KaUdOICXPlkV1C770nqQnJDSvbSmZ2c3TP0czyZN8hgK3iV9HNbPNLAbMi+WNHc2yp89r+WXKRxN
Obc6OW94cBmCX3uup9D/XD7C8QBVuisN6pwt8x0/vtEv8mu9hfZZb06pkmm7sbBbn13Dfn+WJJT4
X9J9tCQCGZmnlywy0OfnFRLcYlCheAgQPSFfYmm2al85Yu9n2lPnW9Rt8rjf7uoxytZ6MXXlr2F6
8aG2NrbVfwIiLozE5js3kSjGqLengNs4H5wwdxHp7n6gg8u0otJPIEaeBCXk0JlmeOUjol/oDvQ3
cV6bJKmIZsP/EnAsS9xSDKTLmYnjW7NpjJbJbYv9kqz9tdVyztLQQc69cLYVkbNOhUcw/xo+XkyI
gfUwdXoVvX2qimaDOp25LT/2Q5izRx2zYsBYAy1benVSiCUZqxhC7W0kWfxIVOGRtkUnxiVvHslr
QmPARmQrnNZxs12ggeXDb62e3+A+65zErIehA+l6N47E0nb5p4vmM+ZnER+cm+jCINv1hymBHDSi
2DXTCx0XViYhXT7P5i4Jcx/W3VV0R+T9wYfgwn9NGnbwrLRf5lG697mOftkaIjA0QHLcjcv9EG1p
CPsqFIXTpP5Ben2X7fKAP8gFpAn5lnqr80pL7o7itngoLteFqa9KDB/t47G2eB6NiebjHnPVTECS
PKLmOlzVPHZv0ZJ8RwaFFNWO+pUNJKfKI+990P8/Z9Ym2eSOXVFPrn8jrqRAVoRPLws+pf2ek54b
+ygqpTbPvm0hcI7jE7aI5E/ecnfGRL9o39GnTxkzXOMLLPv+3nh+1q/tIEtZy6nkK3iHza/VMaab
yPbio3lUINJxf8XpRHIojOJ9kFpm22i8C3PbuApi7ZRBEMynkcLTGmUwvgg36vNPGysxThWuIsh9
JGungQYTkmfpvBgarDllkTr4m6lfYKy3t091RnndtXkUfQSpdTEN4/S0H9x4rY98jZC5jg9tL5XP
O8MRCHOPGKmfhNmmj7bxXrqkdp92bedxtepuu34O3SR4iyJ96VoGrYGpo4FMXu6LOYgmUcD+edlv
ATBMz2HX6WzXtVMevNbryM/xfGtFKEasaJHEyg4Ey651cxKhc3FD/zBbxp53qbVL662gQZdWtE7D
t3SFOQGo7dIEdX8fxvp/nLQ991hHNkJPGMnVm2yT+Xp2K+qjoOymMzLe6E/QvduJYSXFk3hKuB+W
y0agNj2ci8mLWNVa2eVCt3+IQ5d7FBnnJC1NCrVQ8r1X/XeVSP8CxeXbRGV9lamOckPS8ecckOvS
SftBuT+cOOzkqjdxziJx2JpRnQaedl+R9BWe14l8EK17jIXi7qFObTV643EXat2O9betXp481JPl
YmZ5SqItLGu/na6hmKLq8/NvpnEttgTacZZsKf83en6uiDJ11sPK6+46glm60jmxOWpPSCsPKydm
gSz1SqZi2NwkyQLn+hmsWifAwFW4tY3Jk4ic6S0x0Ecx58VxqSEqrAnQuLYL2bVvnDCrYxN+wZYe
7BhqwkpP+N0b2RLoSE165w+FP2mci9B2fu3dBen0bJex9PtwQm7U1y/q4a9Flv5sZpscwodcCJma
PUHQySLH5v4qeUGhuSyhA/W1RRq+eoF9qp01gDwN72JKVOWJfnvbaAhrca8iP4e+l6zyuA9cZO48
c8x8loFocxdp9otYuV+FjNqqYe4J/uf6zaXTdEwSuZbMIrKCuFJFrKfmBO0NRF2a2mcnaOZK9prf
UO+5B6eNwusmdNaFA8naB6kR1mQ5xc265TzpIryHGSm2s9qDp1rkMev8xwll9NuxackD+z4xqG8R
PH3DugB+qIAzHDAsxV0/HHZKcjDtH5eq+DTqMaq2kaUnA2AnX6ANX0PXqkKlCJJYcr7DRY3zLpq9
7D9CQNixkipJr63yftbGwxomMSRHMphL5yT1C5C6KtjE1ZEB/fM4sdNMvlLav9UT72/7IVbLv2f2
OxnOTds2Z+yZO72sSffKokl2FZxZjIu+9k6RXk5ijMKTIMtxH31iaP+YeNyq/SpV6b9yGOx/W3mO
T5Dcn/ehz+reoBYy5AQ1LazCScsiNmN9qRf1C9jTt3ClAFVm81YD5IB53cP1k04JJOD6+dBXxrxP
cKL2J547NFIViJw5o46NKzHUQ7k/J700uoIYURedJPUtMLI9/HcWtBMkys4350F92av3/dAIkEww
3J8EGufLLmGqZFPrZaEf8TffYGbO9fIR9ltU8mEMXttt/iuRCr6LcJEYrsiUZ9d+rmnpfFjTlOeB
bpzz8JBjuRluEJPIk+MENzqzKA8s2UQeOMnXUMFywRYV9OQY3Pq0HNzE+2jE1BxoRGgRju6XXrIY
EjLwl5V77ZNpgqOECgsdsZ1QnD4gi20RWAGJW/WDt/7AYhaPEftOPRVkPAz+tl6iEfQEfGSRjG+6
pVX/AGoXeM85+hUB1PbO2Xj9eG59MfgFWRdxoMBFIOza/j5uoV+1tXEKTSbgKQOcSMUAJzTYJPkW
r1OMzEGLM8MOhxfdUF2M2jvs2clOtLBuHYp5AHiSggItCEjQm0pfoh5c2OCaKO+n+E0mjj4mj0Hp
PMZowrfgEBBDKusRfo66wS8nU9M3tQwf4WMGQt8ennpLzsZNy2hbza1+gAGCTPLZqxXP2tqrj2s4
9geLBS8LpLA35ZCxHJIpzHCLXELbQVYc0ulPKsnDVE0XaGOLfZUT86oaGMulaSnqwV0s6M38p288
fqG2Uaf9bCPD42xujpb53wLBOrh6TTzl65ixnk+wbWtyosYdizb13PM8misV4ELmfhlEpYGVATP7
3q/Bn3nB3PCi3xGHUOM4yXnxfIT43en8lMUmA8mnFva6DaNX2nbwX7iH5DYd1JN3AKMIT3NRK7vU
YnWLzqXxEQWohIie6EIlQ3tIbQrpmbTjTfjjfDA6/KO2ebxNQz9BOd4YCsWHIMzroM92Aksmashj
I/3DbuBCZ7IQhLHAG/bAkh5OZLApp3LM6uSdDr/tkqfmCGtBZKfskTHsWrTbeevNaV2YrCa9R+GG
LHXHXnZFYY7EWAwo+vNQTn6V1PC00zYZTiux/O7E1GSMd+u3xa4MOeQyZlQnl9ENmnvQQSx8LP+E
hfWZwkTNdh+nN79NosU7eZg6uEiXRrx7DxcGFwHM+aOZUaTtKqDFMlH1G9gQDIGzNHAp9iBj/M1e
9kslIQbrZTPZXul2eNtue6DShL+Tub52qG+vYSL6y0BFuZl5+9g20NaN3XjOV59+93wP4JC/6Qzh
069GZr1LPDmyajZkozMPZDGyhd7cAULk57Qelik5B26j6hzmvDn1S182OyAEa2U6f0Ihe37Ex+1b
W/9VD7Uj2nj3Om6BPc2SLVmtVYhKZZ4zt1bObRZLmjMqqoCm3UdoMKRitGmWLZs54GYaHmcCZ9/G
vv8cNG3wHIxGPtF5oldPeRxV8sRv+5n7uPw8S0e3YJwtVTdRCyOHFUnQuj+1dreijm1cTiHlh6Ab
l6KFmJwvUIZETOi5fhSLImpKGa/D+bN+XDf3GoNUwlO06ruJdDZ6deBnQdLSch6hau3oTb+omxl6
mbUO/cs6FOm9fRHjaoHeDTZztpW8AeOwVWdBqfhr8TlGAHuAl9/Gkq1x+7SrpV645qR/yG9DbM8M
QEBGA3/9ISd7rCOmv/JoC/JlqY+s6dYzGdI1Tw0BcdJyJOi+99brJ7qG7XUfGqEr//6bpy8Je4EY
/g8KZ4UyHvZg5rvji0qFf8D3lZ3YxMskt+ANZEa2D9SlRR7QC1jKnf9lrbn8prFz76FWNiq6ZhBX
tYKGXAOnfbUauR8B2VPulyqJeIYWkvGGylwXq6z1KQisPXREafhDMRotxniC4rEl5T7L08tebEbz
gJSSS/kaKsaB4svojETE3qSDgk13KxRPJ1KFo9PXIWzbS9M583MDbxXwq5wqr7Vr/nkJ1Rpwcfuh
wwZGxjx+cM8xuXykWbZZnQN5jCjzGFusWUlRq1WU6wy1KW5S0F2hH75ZZk/KW83ZEd1t5h7CUeyQ
3PQYNiZOvgGsRqoj7frcNBqU/dqNh4iv8lk2Ez04Cp/OvzI3nvQe4ZAdi9zVHL8KPk7WrW5TzvW4
XUISxyXFR5YJR8HfZGzKCJ97LDpYThI2D0WfDEneu0MD/HcZflBjGhSEq/o82+99vmqQZ/YqmIpW
e/WLnmEf0I6QU9I0zssUDvVLlCSFbUvpZYPt9VcTavi8fdvfpV4h9W0DeYJJRyupCXkCnR0XUeyo
758Orqe6bH7EYqHkiGI0toVDtfNiPT/H+17eG9hh787Gr2v9b1LAvd86THnh7xHEtO2YAU6J7mE4
vzF3Hd6xeOuMg3icsy0WpOijID12wcdOv32qvaOqMed6H+rXPPJjNJLtQqL2b2eb58bq9AlwgjxP
C2oyKlJGsqhJ1I12b3veEE3eWm59ltiwOfAQdrQMwCk6PDo2hJMqBf1T9qBw3oNm8Q/UadNSAvR6
VRpJzeosMbhtiCCD+Yf4kS0anWKN6v2TwhvNBm+ZKxKlX2ezevkURVveeHigAahSFwMHC/UCEqQm
6Esg4Ek9C38FbIurVM4j9aJgXRXOHAHO7o9rK0Cg1AH8bNG/BVsKPbyRAzTl4S3dSJeBNaV5JCXN
fMIK6U9bVguyZSDd/2GdX8xmypx4ptkEpPcWwsWCpF+XTtMep5RB1hjIqzOl3hnvh8lhy/oRpQSC
P6voiGdNKPaqAGKxogFEJLlt5lOoBgk7WEHisdEx8YclT+dMTSkM/ql3MgDxvzwukmphYaHmpM49
NbZF6o4boKkN8rqTqQeYTmnqV/04LPj8b36r8d4m/ZfwkGaofMMvSbjjN2vFHFSf/DGS7AohlqJy
mRdqQNQ3OVooSFnr5ho6wXQhgLQqWPUQgbflKdLNd8TMYlTSXHw2zPjs16Y0Tfgz2dTPgEGIorFz
YB3/XS/bfZONW1pAk1i4LtgoKevclh6CEJ/I6Man1Xfqso1mfXPpnynsK7ZYVKlo78qp/IoaV1Sx
6E2pBzBwOlgeIDZ0kAbMPAhz9KB4/iFIla1EANoQe/P98bfxy1IDVVuT6GxD7w9cJvEM9T8s9oMz
wz7yrcOP3paeNuuzq3W7J9+6W1nT7R/4hc09WcOnca2mBYXbJpatiD2xZFIvV4jS5qwDB8kjNVMV
+ExlzfiTzPY+9MgxwnX6s9TQftAy9NfI2EcOsJjcBlDy0Cpry6Uzr3YLym5NUTEbr83nFpnaFmI9
aJbwh+2HLO66qHRb2EnO9NVSCn6s9376I4IKddMjoEZRhlM/FJPzVVtyXOTUlCxQKAWJ+8xmdz26
fo/+jnZ6XyNgl24PCL5OqnC25GI7N1/7RkAqMMtdse9GAk6zNeGvveUFuiJiOHILkhk3+TIOxsmH
WSdFKrYABXHym4otvltSgieZDmaiwaXqlPPOLB4pp2lB3OVXaqp6FcDPY3lIY6hlNSekXE33noJo
OJxiSOqncZ7eADDELy0qMdMWWkmvsiEYTaxXKl8VnD/dNmHez3OF73UrCGVz6TnIX8fueZ63Lxgh
67EB3JR7PiBuSZP6SacOvlJ7FFowpny3kPlU945fIqLpcnDjN4rCHzVy4x9n6/ysoaNioW5t6cpt
KkYxGZi0k5+NcxIeVMzARLQr7ErP608mwrpjdNEsi8JYjM1B+hHqXa/amPaKtov7cqm7wyrcnxAC
f5mgP0Bj5NANx3fqwsS1AzrASPdi7NwWW81M7g0uLfptSA+TZK+rdN2i70a/UE6aN+EwnXpqf3ix
Sqph5H+FcaZsNva8iL7LjTA9Yk0855gPf0lDEfBifbCpx7JkxnsiCvkGjAhRStXBWlx9t4ihPmPK
N78TjbHAsbtcwQlYWJqInG0kLrxlaWFcIHVzrFdOdEDToBsUPRtK31lYpmvmHRvKu3PK4huvEelM
AFcxxOwpRhfPuxG+usXLL7QzehdY43irISE5gGPv5MkraMsz1I/67sUruKKxu9OhPvAFrGISJWcp
5NkZQRq3HLWaP3qZiLzt3jN4GTrVOl8A9uxgbMmMuk3BBPwshfkxRrV/IKAGCLDB49S7d/CBJGcB
pljke9C/ox5dPi3+YIcKkHhoJfX96DnOEv5oi/TeEQvqAt1US0nqzs9V4+YbvCpEzyNZYoBDdf2D
zJockap61eIBuzCB/rM6DeYto02ReFgG2vUrb3VbqqYFyKNb9JrJKnHgQ5JBXmrzvYe5DunFFpqR
4b7G10b849aTc/L1JIolmrqqWT03Hzb6DKcoKJt+8bKx964Wfyl+Sf+r68lzMgHAmAd0LyU6bY6q
mwdkOIOtdG3VuaZH3dav2luSAr3GDE0W33o92vsUtIctJv0zV/Krw9tcBop9zK3/px/q3xTlTGGT
5J4MaXrGTCp6NYqnnrlxNqzpfEwc+90NeVJEyAeyeT6nPZMlALX5JExX8QA9q5Naw6M76SzwNn3w
QtWhQZADmJrWU9jS5hY/DkEzfWxu82MO1+U7hxSqXXoYw8l97Vx+BScmTprz9NKP8HDDqe3zBCRy
5k1+9PrgafxHZRJOHQr/xvvGYvozYY24ITiFeSfnr7xLk1uDRLoI0/e4VqdIAcCUxDUvw4eaN1OG
Q/p97adfcqxfvAbFNFqxciwZaOEVYAroloSlherTmgGQzDSScpaxuc5ReuNEj5eeGHxYk5AFadkz
Ba5/JJuHeYSiZGFJ/Tx5c3/YEvjN3Sid5xGSU+kjJ85qIEKJ4fWxizenmtEqR6d5vcczPiUIhepA
O3SCBjVCt6ZhQXlqDnQIt+vmGHzqIBnPSbd89qJ23RAWcRTRssF2PTc0Fh7RJCQu3HJWOsGhDyY3
XyYk+RM3fT6v3T8yQpt2LOPbNj+jX8g/WA+1j4sVtZjH4aMPO/CuDMmsJ+WtmRpAqTFLgPXX/c09
cc2H8zija2VxnSqtNaQww6+RnwzHJV7QuKRRiSDDy7u4wbAJYixFsH4eEeHuGHlG7oxWhAYwZ0ST
k79q8GY87DIC3aEalYdg5QMjcMEgPy9BF5Ro9EAnbtSH96RFpo6t1lm5xKQt4do0heNO8VME+TDb
nAZN1TNQqnojqKm9Z3TSIxlKUMTPZV0QyYOSDGtfCAQv0JxGQQfv1iOc8o+R+24Vt2lbSbN805qP
16jZlqP268vGqTh3zmFp3LjLDOgzGtr1II1/863aMmbjqDBxWhH/oVe3aJGaN1pt+PNAdLpO7m+e
hjyahEVHNbp+/NfYzEPVQ+fPtI+kNvS6X2ngbLmzdkEGayEt0G7fQ5ob/kHBcaKeDj9Yn8S5BZp1
MOK1H3tA1AYcyYbuHXDlYXIAP3NOSJKj6u9g3HjufcE/5MnCkThFYBZ+kXR5kA5kKUU0JxekLXnn
y+As0beVayRghYZ4k7fYQ7okyDBBtX314bEU3LETGszGvzFKvXpqs6gtuSHhF4H2DgnwaQkE2sIE
6NrWPSuVNAWKJSi4U3JIXcHzpZ0qqznsGTSnnWIPrqjv9xem3hxUs+cxbk9qBTaerMeexlmIQXiB
6O5duQeHpIvYmKWDKFA7Le/wQ34bZhnQqpq8Jg86G0xSsXk+haq5YQXy1p/xkvJjA9GMmcg9muVr
Mkzq6nYyLJpYNvmIOqFQkBRK3i1BETZPCODdkQ7zH1PzJ7BHQd77SFjZ1pd1aL7PXtSc0xrIDLxt
is5wbzxMELwylK/04gRG5J7QEu1SqJRVZOdSOySEYzRCwEvteWwdZEuEHwdXvqB6Rxs65ckZftYx
mnh3Sy1WnmVAyWSn4FDLLsGzZE/bvKoqDlsM1Qjgi4wuinnYQMB1/Az9E6KCtf2D2fkf/YhvMlbu
YXX+mPZ5aob45vMWPdqmm6+0jlHoAm5A67qR6xfFZZuDZ5QHYDCY4ZtG4qYkxEXgWPk4RRY9VwLF
MZpvynFkpxjDM2sWjx8pHnmpuiQqYHGvRczRk0e8GbXdjBbRNLwK3TVZ0i7omWw6D8RC396CMPyY
ezE/Qc3XfZjTIXZPE7M2nxD4gICM6rwfiD9X26aGU8cFzMMZ1FKtUarFBNhN4PhpBoK6r8Si38KO
YlaL5SvMHp7XHuIn9oNT58ZRmFP7qc9ddW4fS9Z/l/uZAGHHs/30f133+11U3qpMavPn8xLyRnee
m8R9h8juvHcAP4cOQYM9rsQgv2Eutvf9tZajvHHcPjgng6IfnYZYEE00PeyvKgw12MCLLbm/Lq+8
HoBTebqKJlhrapgyjJoaUzDJp432lZ6XtWgTdidAXW4zGQ69322npO/m84Z2xSZM7tJ/R4OA+9Wy
CZtN9H3wRUfIK+n0HqEf8t4TgMsLE0MeNvNLgCbe29LGIL/R4cCahj/5AoaJuzRjia0LwrMQKI7V
XJhkbE4JFPayFltbgIVBbxTE1W9jdAGtLipfWnMIkznCLCUcwaN/SteFPLfcpUfC2A+l518jn25h
3AKIaJR+QBpfBqQL1yFx9auDai4EOTENerj6ibxvTs1e9oNeXe+J13+A6KwljEood6FoDosrW3Aj
BO/cJ7Y5Q4a4D3pZ7ka1NWyKcEGd2KTYDCN1vnpO9E9aP9OAeh/wzcg7ZBUn6r9ouqLibN3lTW4K
xb5OMwhi/QElsPtSs7U7o2+AZdK1PFshnJ42qQD+GthGgRXtUXqQrzcQypiW4v51Vp45K+HcGTSW
g1E0uBHN02oKUpR+jnh0LEkP2Ot6W6FCnIi/hWuGfyVCbvsLU63di28ee0jgy/47xI31bvuXORZ+
F+hLk+33/vuS/Wy/Vy/oteKrJuV/r+4vuKsTYDsGQB8zdM7z//cD9ksyEqzXATl8/rjHH/a/vnUW
gV9aDqr8v+/974/f70nHRw8P2cZq/wlInezRW4cXTV0lszGh0ZmpBqc0UNF5v8beAHOABRgv1T5u
BkxDzKhXgNiPe/sX7i9Yt2GlmtM2h3fdswDyLVwBaDlxDeTdRdMGzInkL+mMuOyoJXogGKS27SIt
+hTTVLzNKx3x90UFlpvk6noPDVaFy3D7PBVB4AHV7OIySueBH1pnLZfQ/KiR1sFC/Z/Dooy8CZPW
xzCYbonegsKkscwJUyuggIGOpZ3DADxgv9WQOMPk1NdoLxg1uXvzWUmA9SDIhn9WNQGYBsKA8IEt
R0L9RyWE3/t2/MX9Jizqpm9fxjX1gH1Mw5PxIr9y7UJuHZPJYdSyvYZL152GPnbPJomA0ntanbq5
SS8UgNsxQBvrrSV+UmnTBrmEdHCaH8qkmrEEWqCf6UOsjCTx0T2nc/w/IXFeR+fvLJLlaXwctmVB
V1ePsny/F8H5f2owlJ9gcLdZ0PVfsbKPBQMSgCmFQ41q875fMuu8RoklRQsJPvNAONxtIKd78H/P
DPtlZiNPAYTfhQ/s3vCJQ82ZXHaPRv2Nc2QAzEebOtg4C/C7P6Dfu35/SGCtBz3HoonaUTSumAFa
ge0Q4mdM2zvfFMAeRdDaZdGGNCX1W9P1Z9QEKUReHMIURffqEVP9d2+agr+GLd659eYUhEz7IwmE
vAzpkxN26WsXmvTVYeqEfy5Zlw3a7NB30axAznHYnBimBYibQ9SPyPwEdvkQlvRP+wE7AamnUAeQ
d+e3Bk3z3wMP6GNIwXc58yDekf+e9/tgm7cK2t96EAmfvwcbLyO3qz94s0QXNBv6Wb2iTXbt019O
jO0iQsjkSyuqvp0rvTbiAzP4QGOgcwO2HDkIdKawBMRek04yS9a0/ug8DtUO6llGxICWuDoWlVN3
sFLVu4p7ejVxoPIQGh7x0/YtAUe/MVcd/RbJIjdLWrI6VpkM1lZWPPJm9Aw7gcqY03znaFqp1tqZ
L/vBkTBwURl/pIrzPG63/kUwfz5GRvtHmc7Rs9tsQ9482toHlP+rpL9mnx0dQOLf9LjKygG6c9Y1
T16aMULzqfXorxgksoWp+wXMDz3YyGEnhi0z3gDXsc+fkYjtw20b/mGh9sMLMd1xWGLvfY7Vt/2X
YI/Y324wJJeWuUBcTLxd1JQ4SFAfp53vsUqk4sSV1fkUCz8nTUOqgC/yZXJ4/9JMs8iSsX8KAr5V
2GVmeh2Ynl5J7VYueiGf9luQCtXF1eb3fuXoaYNvsrgo6rETlANn+xxBU3zv0PpZkjbmaCjeFsRv
PiMR4TRHNOtR/MThD+V9x3YKDcglGT4lvftaM0re6tH+3Bw49rKj4XOU+s51oT1Ktybofwqt79Si
mB9dHRVoHQZx6kkX6iDpfqZGZNHAxXf1fxg7s93GtS3L/koi35nY7EmgUECJVN+4k9sXwg472Pft
5tfXoOLcOpkHuEC9CJYsRVgSyb3XmnOORaJ/Uf3nrcLQsLdYnVZzm7yj5A2QAxrMoZobP2qtVe9S
iuRdrHTlrlFt9oqwLFZBYMa/ylYcY2l/9zJVTgij8CYU4WeRau5iszv2pt0/UdYTpqfk29SD80hL
pn6KRdkfSmfqV7e7Va3VT4GVbcAVsd/P9EueZsGTEQSW7+qYfOjdu09BIKiEJ7Zqlqp+GbNZew1W
qF3iyE+kU/2imPp3R+7EVyoBAoaP9tJUM/JaR8CD0UTPy7es98aqS+36rZ+G7ywO6UqGwzORGGTk
3Bz3GdkiWTakCzAx3sME8TKa6j7fztNYz+V9vdQnU6Imq365e3vMLsvyPrLK55oz8IBbpLy/PWTl
drjja2eZX57x9wsmIDrWlAfH28tvj+PF54AOWd36DnVsdftNWEUbu0Fiub0ekdRiYzek66EbxeF2
I3JTHORy8/fd208Vpkj28v/u124VEC7Ups3tyc3tybd/5vaK24O3GyO3P+ehK445DlORxdEpBqcS
8BVMiT8kgblWmla9v924Mmv3Lbv0lWWlSru26rUydNn9rCLb0p8yDqGY5MGwWXgLbGoPNqfYqE36
HVgzlJo0UN+bxrI9Uygap2dYeEaaOBupG64XKlb/rLs1m7Spy7zarG2K3ByPWaiJ9IDAvwjO2fl2
M4XqXz/d7qrtNBzh5tAMb+Mjvvm/bpqBr2V1uz9lVnS0K7Xeg0f46MqkWIkpL6+5Tkwcwfh2xw4k
jxikMfrY7E/jWz3N025uS/2RHJZ+F9gNZgVHe7zdOH3DB8DueD1bLplb25AbPeHa2wUjbmmnbe5t
XWbnTJJwlmXVfc5VRjAt7J/7Wqn3U2cTD1weVyFKtcVnOgONarBq79OxN57t0gSBN7sviVHsLDdH
nGlScReEZYAvU8eo1Kjaa9jKE40Q65eb8l87ua6A1dHtrQCttSOo4T66Bob121OWf6iPR/etcVDM
Gy7SiJ90gmU6NGcFCM+Sm2jfZFZc2I2EP3Yo75RmjN9CG7NQZOrJObbAKdnCUNeDDuCrcfTX21Mb
/uludMMPF+HZxxc0XXqb5ZblQ25qwbLUJ51Dfco+oOgCLAucrOvcIdyTxHZKutuu7y3sVfcTBMJj
Sd9EurTtiPXyi1yjHdFhgbg94/bcsB934Kds9pAfdRrpJ9L31hlDbkNibfkRvE21lhMSEL0DKC0u
uItCF14cYs0ukyzs6TvxYFRaQ+HffuTz707D9vazSVbKL5xU8WiE+hb1kZ/Iobm0bvbdUGR+RUgp
FPPat5lXewcaChkeEvpVFBsk+Ip1Wgv668X42UftHK2GgfTwYGUvQ5cf6TUqp9Iu/rqZl7u3xyjb
tqNKSydMEnfAFGP/9+f9eZlmPocksXajzAfqfIc2XDqEWHM6TLm3m9CKwxOX7/A0S93clbqJuoDU
V6bzWzjHyXbq9PikCDqXD7dfjKOj+kY+KATceF5hVs8FV/oteR2aWY0FUW9qbHkpSN3L0Cm5+AdV
tK3WpTbod5b9PHItv09bVbmv4lq5z+tpm5jKdP778bxcGBh8SELO3baRyYE0RvugiSh/cJ7wqMwb
wxRIZlqjn+ca/6Nul+oXvhoKkqb7YNoW+rozmgeMV/WDMwL3uz3DzirOs9h5zuVobJNoui+kYfoj
ydrnwVIxSbfdVzIouCzGcrwPo1I/0nS0l85g9wXpTUFz1rISk2lJ/HxQna3Qe9cr6rjZqQ6euxGr
5gsrFIpRri5hqLr3XVLlD0ZDbLZWrI1bxeqVtES+CepIrMslSzgZVXpQ+GaJrPFbPSY1qrUf1PZP
RVeVb8Ugze2YYTjEr1O8kV4j7RW5/aWzGu1OrXptVdZT/BBRx2xo6aEeVGKEjcHhRvnNnrpNm02H
NLilNIlQGNXen/CePvV4fLwomZqX3CJmSQDRpOjs5CmX5kXXCuW305mo20n9HUZ5tRJ1157SxsFE
X8bpOu6T8d5mk7KhxsEhrOQKDeG8O8eTwXKnIFihUOvsY1g7OfIOqUNMo+V7u8xxmdLecLqrAoNv
lQMm+oxmeY4j3Q1XeMOx+8QhJM/mOlbxjC+tzUle0iqJRNMS0QDdk1T5VYnL7BgE/bhYF8WHlqrn
th3UqzrGFp8pstnt8T6ZjgQfC68LxAguKNs6raXfQ8TortgDnVVQZ8VBWGN3teeu2pDt6NYGlQNN
wmHyWajctcJGedsPxvzq0LFbASAdFo5fBnTNU9xMvGptZZ7LcGhxMATzllBJvy1ccxtoof1B1Him
myrae1dDacxqIAKqnirnNqefgqPHK0RSfgmlOuZjML+kQ2ds565j52rk/Qv7h9PtCVOCw6bH2Hxn
Zm18RtiK+PNE8ZUibOGRy080OkcWTrvZqHPW7bM4KXf4Dtj9aP17UNKsVsO0PNq8BT2cH7pclQ9p
YluXWrj+3w+R/uE4sMq72xNujyehOR4w0VAX8prbjd1O6srBMeN1E3pNxNeKzUpJ0xOWvrtRZtFD
v9zA3jDvCvXj70eS0gofChH4Nlaby+1xy46jY6vliZ/Fer8J52p4VXG0rqRtDScM6MNr0y7doc64
IkTb91nLKbI83JHC3utOU/m3FyVuPmILqIr97UWIpi95P7f3Y2NVz3prrGKrdHw8OJLkQUnEclqq
FUAx5EL1wPDCpCIKsVQ12BV/TJvNaEOQdcOyOn3I/r6eLPMT2z2HcEq7luCMfMzN8Pft8TEyGzz8
InqI0zw+1dic/HZ5Qd0oHm5o/Y3oV7wNErXZKe5Qv3AQHUynMT8V2yJX1+r6IY3Y1FAKms8gknKS
WHF47iLXeB5ciEfaUNZnk0FIz3QWfqtNrv75ZTUseMly3UiCcXZvaBtE93jbLXfxcV0tNW7PbOvi
DSwRAGluNK3dttuFJfQTS/Tkx+VOUaRLELv5GG1oX5XaYWwtIwp3NfuVwfhY8ud2kq8nKDtRnnzl
o/4RlT0SV0fLWCNCulx2/U6VX0bQtatGnwUstmSdmELHB9ye5zwqjnR8Q4qzYx9S+BMnoafXYNZK
I9vrje4s207baehh8ICN2RekiAOO0d1sm8N+GOjuG7VLiEo5TuYcHW73Br0OfaEnox/gX7+EKjeC
hcDTXZmsF4LaYZgL53HB8Ggpewot7v3MUBVvqFTwMnnxzkpLPY2n/BK416qIXE7NpDw5+fSWS5CL
FQ79LjBQlNLpCR7r2u7lF1thU5MoTFpwIfZZreog0fxMH9euqUPGUfKNWdYfjpXMm4Fmjxcr9qnh
EvmqpuFDGCnJJpJ0yRe2xYdpDYRHCI2pTlAcijQ/DFZo+baWKM+QK47xmGmfWk8k1hoNfW8G4dns
wwwxKH+0Y3yJrRFt9SwutlmrXe1ieoTY6Bld9Gwl09lQ8iO2g1Ms26sSKV6WBV+zJX6T6iTHL+Zj
MIsvghlnu02rs4v9K7P46B01bXeLmm1i5Dk2moDNEpd7RcCikYGxG/sKa96AQSMXfOVdiV3LSRLk
7JHOBG8X/Ea+q0tkzjFBWhLwUVeto5cePkxfYj4lThpkXqngoCyVCxARdy1JdyD8FZAb8tDvqBCa
PsUW0hL71lwJNYMYrZcn0dExA2clFFoxoCcd31HcyNOnlN43O0HYQ/pWNGRNsITMLNZht5JYpQ6l
ZfpEAi3k16pZ9bnpR2oZe23fJZ4DZsBP5fjTuKM8Uyz/ygM4Q505bEc4OhXLnxdHhljH5nhNoA0+
p3NyLR4DdIBDoLBk2AL4wsTMV/wozrClvfeKiqedQ5umQcKbgUWYbfE8zNtGo9uZ+TIkeGMnOki0
VL+WeB5XCSekF0SzudIcgcynz8m+BsGxij770goOqmTTo4lAXZv1r7HolVWox6NXygJ3S/7cBY6F
442zArTzujGI11lFhYdSczx9GE8UTY4nykjyL097NwNGQf8UKMNjVOiYqEIzQaClNlfHuTxoY/Ko
uyQPRCD3UxF2fhWiI4Hl8llr+iFCTxDiJKJxOOF4hZGB+Q83zGFyu6ujZRFETm3e0gB/SoF1bUO9
Z8VagMq2a/1ms1WsCmv4yZe3jFPd16O08dk5RBNSoRW5b22d/DZMZSei5IXUacp+E6WtipUNaqeF
7a521ln2ZKsBMpooro6oo11UEzvTjGxd2RV+iyrfOHXyqtfpF30drMZDQntsncbhBf2PavUXrOdj
iw2sUFNtbYgpWmXzeBpGP5PARnVwt6RjCoKWIAtiN39hretWrW0VnqKMe1EFe2jCqyhSth1zr8U8
4hgZxmcxzsqKLqNcg2YVG9fWmsMQTMec6t+bU9tDc443TtUGXpF2F5Qbf1KiJ1cNCZ/W+tlVQlTm
TryzsHMF0+6lHB0oX9gxKgunYF4hNSZ9uIL/fTFomxuDV5TaAf8COYdAkOwTfhcbXx2lipfl3XMc
J144pRPOgyzyWppsXOiPc19VKy1UNU+T4S8lrR6WNymz+NMKzsAuqYLkSp3Hhs22VuzKXn4wYlhu
ySGeqj6puGgnKcHBgoCgBjjVMGMNBtgpaXPcbs1qHi3a/DHOv7bIV+ginRcoFgd4EgSrqOdqdRDO
+NqM83fQz+xpK2DTRPKs0f3tqCJYlSrUDHDa/ao1OEltju50Vj+5sOIE1Ixor4RTsR1q9ahlWeNn
HcyBmID/2TYuo5nL1U4v+Ttk5F67cjxZBMLxHhZP3SUzAAmWqOyakzVL5+JXrdMMSi2ocAPXYIq+
ZbuwBwS103HbEpBaZzC3wjb/dGzMxFNnwJsqMmIjUf5ZYaC6xnp3MR3tNSjlQ2tX5znr0YBqJVpN
hc1HjLcURz8nlZHuKrVE/h+iF2PkykJvP1kpsf1oifp7UtzTGAkMUNmr5Wq7oWvFqqhJdOCljgKy
CVWRAnxRAsLAwarS33WgggAHgYflssUGYWB00a3Bm2vrR5nryFNi5COSwl46Bse6yyafwNm7gklC
69J9lEqQW/3JIgY9DfxT1ej4BFf2NA1P2ZzfzcjFHfqu0fX3kq6gB8rFo7vix1YarapQIcQGEzQi
uJ2Fp8kuz1E6PVhGNzxyzg3ocQJgdv4N6TLZcgCFuEu8PJZPCUYNzLUipji3eCgqQt+w9IM9z1y3
4b3WSjBt5gLOWxVnm7YGwqoCJWjdgMhiK3CwNd+4MOiHuvguZVtt47G/jLn5YvfU2TiCOUkZEKAv
tocu+GS7fXSsLWZIvphHCFpe1MhDoM0qrApSv9MAZRm/Zx9PGS056WlFcu17A7tRSa1iKPXXqLXk
Tq3oGjXDMUigv7jpfhKUW8B2wvS+XmShavyxc+XcKPWnOj+GtXFnEoQw43GXx9pWMcP7pvmctfYM
cuzHrPI7MUSfGS7ebHCjTZsCPQ5/MMG7pDVqzm8jeFFokWFm3vOnjVh7G8i65bFRufYChwi3WPPj
0hcSgI6iY0duJbU23wMekYGgi1QiG+gdTg43xOisB1m+mnX869nYxJs5D/j4GCZB+wcLkjkVBMXp
dMRimknL9Ou5SVlveqGtWlbBVUNsS4hqRab/B2wFaBZLyFXmJgaoAoC6SvM+pGztXaX6XRmZbw/z
5AlHNJ4rtmVdY7ygr7Sucjog9NT24Fn9ij3ZrrVRkzKu8oajfLXzgJvNLU5pHuKVpu2TJYNf0As+
QnxjIz/k0jMgLd1Zomh8t+jd18DIX6K2aX+nY70y+7L/+BMs7W15j1QTkSnOPDk1gcdXuOOzUDb8
bfl+djDbKDlUM31JkBl5XvkWEV8Sr5SZAzSj0HHQj5a0SjFSlMcGjjSFGVzP4fJToSnicMuy5Ir+
Eava1rIM/fdcdDsNA9Qne6xV1JaIjSLAXyuVo5JM1vuo4ReiAyv5NrMfbckt6TVRziLn2FNG56uI
dcaZY/KzHOQIUxnPstLEvm3hVmhpcX+7GcPB09THP1DisDL7u84K5KGSs+I3k93uVBwrL6EDsAl+
8mc5DBApn902zPxImvbX9DsJk/xXoLjIyGD5PiojeJOqo/uJbhElW2haQ5g//gEkaTETEvIUrnSa
DyXvCl7aLU3wJz4Mu6E4uUrxksyj/EhM8/wH4NsMsjmZajFsjYlmsWHN0xm8ZLlpm9LhsFHyewVU
8DlfWJ+5mNY4XOSbwzV6lZFIAEM6Jq5fgPjbWo0Ntrqle6yqvfVdGRR57vDi1DabGZBQf980w8Os
g46xMrs8FhbcuEG+R6hNi7ZPkK6aBF+lTEd0LUlEwsHKqSjFsVc0tMMbDaLqwPpIWtZdYG7ivpXv
BZtPJ1Pnz7AD3jqgTPpVP4cPHTI2IZpeOQN6+3SXYnZKKv2V2BOLB4AyYqHxXV416YlCStu0lfvr
Fqw18u+J7KLSUu8BHpUnJGHrOvWzxSUcIn85tuYVQ1K7sYvBZFXEWJ/YscGfazcPpobzyhS5L50i
horENvdeN0HSABdvN+zr4Oq0pX1uuunK1JL8uTHntzEs5P1Uz6RE2n4f67J9IQkBJdOhMTvG80EE
TXXUzVFZZWRWutACarlAEDLhns2C3kDngF/tMpQPXGn7PikeU97M6fakBj/pilyUXy7MGSN3tEMl
ho2wq0uz0ITYTgiM8Va7lTLBgspxWpu2fd9GiXjoDSDV3qBjO7zNCplqfESD4aJGABqYccZsJugP
O9GkkrQImUG9bFi6BYY9QPYfbUGw909sDvTQyhki0jzL3zHEk7ml7QBVb2zGM9jil1aU4lCYLfNN
HLLcN85sMGofRGz7e9WtGuiwYCesMyhOcQK/ifqU9Py3JlVmLI1HOM0mAYZGeGPQRV9zq25thE0z
eLxxxdoo1p8I9rGZ58SnsYQSQD9O11o/TIaYxC9/IcVMwUUlWg693+VMf6fhTzZKZf4OxaNMjJei
78Yv5PwXZTDeyOY1j+AWLA9qQYbcasAHLdJqgnTkiF1XV+ODRvsqaYd+nZY5VqvbMZCGBvZKBctN
kU3dXYD4fwujucFPoVfZ9U+ecvihf4EPgNq9XkBpfc3VLSyifdZZyjm0Fndi3juQWxkbI5zk8XaD
DBzte9X+yWDCi1EZn2RraYCVq462WFxeSixz7E66wyDt6n2OXAuvZVYTRFWArt6Ct3nqKmcjND8x
ywUroCGqb3W/tVI6WCjMChOFSNf9qJzs2jZPvR0UpKPymm9lNzIm4PrngwjH3CDpVJhPecZuAs0z
3ir57MmO3OiNj44T/93OuuneYADH+g88q8FeDa8wRxyRNsDFZOQzJYYaHip4Rggb8mlWEUd1quNj
4sD3sAf9lbkF+a6b3bUYJ/lkNpAvghrpQ7M+88pAh1sm/tTNTLutnCGIDrDUgqR6kN0Y8a33b4Vl
TY/YIaIVWxf5ojOApa0WOKdVyA2BgvwKJEg/EN27QJ9yrlMVjxB4nXRv4YJaB3Ho0lgV8I4WKsaN
fDuURGL6HpZrFxPq6a1B2UWyVE9/VgdJIDEoC2PVpnq3rrsJ3nZLd3Nla4VxErcfJ8se6aLXjERZ
TlYIlnS5PtRaGbYMAvWKcAp3RdgnR0XZAXhx7yvGYHhkbfJNkf2a09qhyEysaRv2HAMzkEw40dZn
1faB55qNdmkd/DojxM11PY7Wi9Kbj0MJqzXiCOu7uHt0uGySlr24g7uE6/AB3D5KyHk92XuWYKHG
GSJx2TyNi7XNwWeuRIZz6MtW3Ul2pV5PyPxS18z/MRY4fZjn6SMZ2wRHKgxLmaWGzxsXnr2MVerm
2NppagFpa5wrIKojpCRRdptc3wmSSKU3ODJdlzB1/4R2HXhg+lRHD0orLTARDi333iZgmkOOEBAd
aYehpcE104Rhv80qzr02+hrpR3qOMxCxyuQeUT18GcSE5TvzqjlQXkGuGaRRCVnTVYIaC4XlWqls
BqN8wGEdpSz6LC8hjRdYwAb99dvJb6F9bZf8/gV3BRb/N5IUz4mjbh34mAdzsqZNha6xA2SIgi/7
/gp3UV0rSVJtQpTPlNw/eOkwxoDUqCXHRRa3zFDRy3UfTuS7nZYRU0pgvgwaiwn0B+IAt0XWCY2r
vnc4jnY3ovffN+BszK1IrM8owdle6HrkUbbEG/AB0DoZJJT/Gdn9b0n6mvrPiTeqjSRsa/oy+tRw
1H/Oh3E58lKp2YpnBm51kAotF0nW4hZfF8Q+jwje3ywRePInqZDJqGeiCCqNukhrQQslzc4VdGJy
l8ExGFhUqPH4a2DtwBUYg+bTSZutMK79MtvsdqOb9KcazVL2SZPETxIu76mV8v3vZ4gymFaD2oSH
kTEdLL/DKR1c7WTbnCRtYFQfUyDClaVVjxJ/wcU1gvWcp+KiFMz96LIZ2r75c+M7Balm7JqgmteA
+up31c5fGlUSQ9X14k5rmSo0LY87gV34M7jiQ620Bz1ZLMiPeZxlND1EfeFysXEGddhYYtKQcYhu
2QHdp0qDv77cpMakkAXsN3HaDYsm5odmfKzKAQQ/p/YGR051GNPFOor65dVtHn66yrAu8Qp8O9P8
DeG3eTbdCrqL2cdHKxHFRSXo4wtIKe+pFu5B7gXf+di/mlM0voQx1Id0tkciWdkmyEztvkL66okj
HAjvxJdQhER8pvrSOzHYd7nOjbD8Ibz+0QMl7AzL3QGnxeu8MMwihrX0IRuxoS3YWksr/yH/YRpm
SSRFzDvbxoOuL/iYgZFz7bKsl4Y9HsX0it+qE0P+GXChXjshsHHXgncHy4o3EeSfvRPEUD+eijjP
gE6J9GiQPPpzc3vMciOC9oQyL2jKj3+s6nqT4EJS+Z8Zr6FZWfySj5htQ8OKz4Mb5EebJjynHtMv
hihj59CH3fekXzuTDice2e9xonpwTeeln4TlV62W0a9uI4rJRN0ykKB/mGF6eFT/9O0LQqg94Olh
kNTTwwQGxZ3N18nOcVkH8it1E0YQZH3+oBghzJzZsXauGpfHuJyOaa8oqAWZuZsMMVxnzX5JUqv/
mmyq51rJrQcZ1+Iw9Qq+PMb/LRvYxifYz+GcmuopDughz1F3SWfIR1OpqztzGmIiTqxVECPMR73U
O8+aSwOOc63Q4QgZ5dDb9M/arAfCSicKZIVPeT7ckRvSdlX7M8LNPRLFjY7VcqNAzuCTWX4Uhs6P
t9/Dko+Oujv+vg3R+mts5F9T/v5MQ/xV4nUH49X94+7/9p/+z/U/fpfNf5yfNtf/tbz0/z31Nlbx
73uXz6H7qf/5lP/xCv7xv/7zZTLk/7iz/ueQyn8NbfzHGMrHn5ZG2b/55f/fjErVYCbov59ReYp/
un74/Ndc0GUM5O0Vf82otJiyazL8kFrAMG2xzBf9M6NSE//FNDmb0esqMplmmVyg/5pRaVr/ZRiW
w1g9RlgiVv3nf7Tln2GV+n8tA6zh4qrCdcjhOf/5r7f2P74epgn/df+/D6uEHPnP6XaGQUrcFJzQ
huNYrsoEzf8+A9BRVTpVUTv4WkrzMX1JovbTymcayJHxpNmALstpRfaAiHn6KQMyM6mSkD4gn6Mv
QxFasznkxm7IwqtBnRfrXMaUGay9u5mYibm2rR+CI6tOT4gqVeu4mu5LPT+Mnf3iGNIP0HakkZL8
s3+hP+3L0r64/TLi6MJ8gc3Q12cDomGW2A+DrnqtIJ43gu6qjUdzvu+pPN3pEVzjqdCLazQyVnBs
afYZ1QHmyym0h0OdUiV2gC5r/V0W41az1IqmmI4tqXvWkgcYRFvq6M96bC9N027psR0k6Z4E53Ep
6eLY1Li6czeo7aZm7FyaK17nftt3Ws88l8Q8lrx9EdwnEZsy97Gr+gOgmX3KMCubHolZhyxS2JlA
TTpD+TJvqoJNBbqTNbennBBoTX42bJJ9Lwt/HMj+D4FPo2QXMDMLJNta0AoJM5C2mrstwoNUu4ei
S++GOTi0hbVJ4vFLH8Q1At9j0lqrX3Ct1l7SjylaAQG2oN+UlX5yhnoNJfNBukaDQJ/fNwmTIIoM
yTSjp55t8xABCa+Db6SM9IkIx6fM39SCDYfvuxZ1m5LQ/Dy0fp7F+2pQl8Qn0yoJsxSGi13LuNrZ
e8pRQ6vbKzHnZeDq5o7xkmWy1CeW3AjD4aM30S21jelmDyl5jYA6HZYOom02OkwaYgrKaH9D5sBU
ED/rvIsZ7iRGEZpAUJroWM3wodB6BuepbZCaaqZINf21s5x1RGwUkNkX1vdpFRGfAzDnt4ScCTy5
Pr38I4rlATWGbGG2Z6lZS+E59vyKE+ditkAyylWqund2U601hwo4NNaL2wHzwkEksJPH0c/d4Jjo
n42Zb2tg52nPRj39gKSnoz3nB2RXhmAtPGRRejVeIC1stjFJkSh5NElmUK549KKPQg8vLHOnkt2M
YZiMmjE2M9ptjjWQeozokJt0lNHmU7LQNbTgOgCKKRoI82iHJfIz2zdaQ+iOtXyS9YlO98bpQ8j0
proptHlJ1GGaCYGufbEUegVzE4PZzimaE6j8tLOcZyOThxpE46oY8sdI658X79EYg+vZNbiPVmzP
925crNse6iPqZs8ilmTNZ2TW+9Ju7xfeZit/icz6NmM0uAozJcCBS90GbzmGsJXhus41sWFb180+
ihH/sfHHK2lqhaeHzfME3NDrA33vMhTIkc8MClzrNpTMtgtW8JfAmGa+IduD2tl3rTk9BCmeMJvJ
XY3LvKAGshLhZWeEFraYSFXg4l38oVUvrQMnn8wdjpuX2orYTLuYqaqJyW8v1qwcO/cu1Wzgr/dx
o/xEuTzVun4uGZ/VJ+z0dQsxdof28+gS1MIgqm8UPfwS/fzeMdkwssKfyOqYIEUd5k1L/iseIOJZ
z51F+9mpD4yfoFdbwG9pUiBGsv+mmHqom3BXu8GvAj+01xKCKA1Rrg0tvLq0LeOso7FfWxejrH7V
5Pts6ygUBU+KiqMr6XaSDDL2A/N97ttt3LVHIpg01HRz8BLZ77Q8ujK9KE9o+Lpjka1hqD91KOUM
pNGDdK+lOByMrvPEAdPja5umDy7T2mz8Un5hD48GFgkzLTe4h9dzNjBsTiC3Vk9pUj3LPiNuTxGX
ZNthZOpMEz2m+sSJm+80TVlMgLtGX+N++zSUhW/MdJxa92wtftB729cHzKFCvthBdNLLzLfonzs6
gwR1ZvnGOL7jl05vCt+yYsWncfBdOJwGKaN5mF6HI3Ohq+HBpy6dPgsVQ41bHvr6i/rEHYQXlvsI
1LEpr8V47XB1BCTGFMViCBCGcl2D7IyBiZm+FlclTYsextplAC9bPRDxx3QOmVVRMNMOiL2nmfKQ
NW8CAGyRfNBGgwNAKl6rVlKHcxD1/s3qBMqkwfsIOvQwzebWMqtTN4n3JcGxMirzzUbWq7tgbbfN
Yeq0p2ag5E5o0cWz+1VZ8jcTwi70t/FTi8LxhlHb2gGWG4ND2Y7Q/BgGwci/Teos2LS2P2s58zai
8hXxFplG241c2eDIrsPR70kj1JJmfcnMzRGvr2086hEBopxaAGk5nZ0NeNZ4ZU/Nu+6Uv+EB/YR2
/kZS8SdAWka2z7B710/Uf7RVo+xDJVzYZHyO+mOwANQzI10bWGe8Ms02TD1iHkT95TJ01LfDYWfE
TJCK+YyJse5nkqYr7CI6UohWFnhGGbWSKERw+YPd6JlsGfnpkA9af2wcQaii/d3XHePooD4FQAWA
DURRzoTBoIIzUU2/hYJjVrI3qKNf9JPJWBDbiCTumveqs3xpDnC7tI3R0tFD56IBSbumTq6pxQBE
tXghmKPVsKosx+cydCiTu5k5XlZMzkm0yqdhr9wOCwdzKOcg2I5F+hQyD5LO6S8mqAA0NlEeHZID
Zcj/M641Y/ToisKhqJqDCfPWC5udPYF9MRClcoGcXsvHWlZrpsgwAlf7tDsQrcbwOmvpRRmWEc9K
+aJk6pF+4FGaxgn5xG+J4mCJ2HAxNTe2Dk49V7+wCKDq1liYqf9NE6ZwV8P6ajt76StZO8uYDqHO
gGS8/4hWLr7X/8vcmSRHrqXZeS8aC2loL4CBauAOeO909kFyAiMZDPQ9cHGBPWlQa1AtTB9eppWy
yspkppkmme9lJIPucPjF35zzndZ5StPkwH6GQW0NRKS4dbp1wLO6Kq9ZhZUusD0ydDv80AvSLjvy
fnnDaIfeAyuc5Ydw5lMlkb0dlenuxWxeQTyeRUl8dkrgH4tFCKtaDwtUL57Xg9ydnsyR8V3ksG/P
HHzpyY9HN1gh3HAn92hPjyxeX3HoBSxz7oyWlFM8vZvMZohF9s3VAAztl5A7zfJdG5uXNrKerXz8
oFu0t2m1pGgNah7u6YvQKAO4pbnrqWepI+SWKLZtZKTwtNDPuts0B/VekJ/mH/3yR3hsOD260OEH
Yyca0WuF05mt94z/rp8Ld5NHGIn05dYXxg0szMVMogNIWd5Nlb0qJ8Yu7MB+WFidh4X/AlnrxVGI
CxKTZWKLtAPAUK3tfW6msiXcg4ux5M+tMO/GMnuxLWezOJAzzOGh4UHSA5IntOtalfkpPc3xkzbs
xzY90JM/trZ50Yo+wHEZn2qoDGmNzhaHU4EpxQd8LyilEILdSJp47+ME9huc8aGn7c5w346QXdgC
4gDb+RrjJ/A7X42JFbBloCgquQWctQOqS1xVvy8sN6yd5oOvBjrPF9dyvsqeFa7lEUO2EDJHepLR
LG0YidaEZzP+9bJ4ihZ6qI+keqQKy1L7IgYGsnIZTivtybYqsSUKBmhD3wSgI6dwgVYQklm7aUet
2krEdSXKVbdpD7pOKpvLxga1U1qIO3i649Fk07Utl727gFyrwNQGiZVqB1rxXwSNbW20uYxmUTl6
MQY3nvCee9Gj+nEsDG6C2tpHRXJFnhMWiwxHRCsAcuAXZRjcBWkr9krNg/+DrT6AYvMdVdEXxqBT
TpL5Ju2hfRZyIeqRKB9P/gYe7iUjEhC3fRrBQoW9paes4UlDAKNeOeZRgWmxmtQPRi3hQHPH0EAY
EsY8fLdNHt0bh8T1XmrGBEE5uDsvH39wVQKX2LYK7CMquxI1BJbCMwzPh9kBTSJ5JFl/Wh43rHVZ
w/hhv4hm07QEbHPmgI83v515WiOKyBGvzTVYQe2NBOyK6t98gkcH1I3V4zxkp6J0HlNqXrNLnl0P
I6Qgh2TJdov7LXMym6IXbaxPxYQwQoFTyU2TR8HSYwqCNbJVcQQSwlNvw0Jl6uUbvBun0hTkcExi
D4QvwMy8ay35FlkGRr88084W/xcqujCV6VlzJNkZRFJ6BAfoRBgOZWUhhBtOGitC/PPDp53ZFOXz
CUgdjjwaC4fIAFIRV/6SyZAjIsBwUP7O9N+MgcWz/62W5JJjFWkFzyNveM1TKiYF5Sh5AgYL87kL
NUTXhOVpAYO2l4Q50sKebo4e9Rl2RDsuxYPJRGVH93YpI/k2JvUTWqCd4eXvOYLDeg7qKH9oJHYw
/EvPRMp6GJPIR+MSPrude06YRe3WLMOqD/xhPLWMSVlWRc7JMb6QKR4SlAG4bpxjNr+aS33MsmEM
8Y0+tmot84ldpMk1rfaPrbMt9A7oBrEduKeesdyC0Gp4KWLzOPjJ0c6fBk+j5rOc51H2YafASOHr
Gaz85qlhI8tmX2QkgqAm4Hbt9WFHPBuY9ca55EiIAQIce8O8CiWO+qph4rB2Q55lA1REh2oYss2d
3b32SCr9n9nhC7DJ6z/4JU+owM546BAqgY2Iy21nX0Cl1URGm5yEZgTCB5KQ7vyCkbhxKWfHklgZ
BNfY8T7XqkNigp7FtHMI8Zzkc4uKS3wVuHBBXCJmip9m1G0a6Uz2OK/ynsAv5M6VKA3jcMZn0CTJ
U+3om4lEaolJLbaGx8jrniLewTildKk5bJ+zy021UFo4wytN9KZoOgRrvy3H3+PBvLTKeQB8cRGO
LGiiDRkQZId6GQJg21KAGSnH8Zof2cJ1HPf8af47ddVwyHJyYvKvKX+yKmltBqk9xDooP3M5No6e
U+vDHaiY803Vb9cZeDRMmL/ETVnWR9n4t0mV2IsqeMjNuVtIbkbl+m707sVJqu0SG2epav02Wwt3
Q4nXcJlb7rdcEbTd8SEu8uKgSZMy2nuOdW/mkb1JHOume8MNdADC8OV3U8wX0brPzIlWQHT6kfbZ
sU+n6+jrYW+qx1HZxbmUwxdRS3zcZQEKJ4l5GCDL5r0EeixC8vN2YkDlzX+8aAYi/sH+zswF2FID
Xbp77sRC6hky5borw3Juf8lGfxdpFiA0DwytoE3Nz3ilkHKii5HtrvCXPbkyh7qAmm/AW72fS38J
9Wi4sZs7G8UKH1XbQQ5vJdMOR3G/Tg2/1GLw3lnvvQXLfAGW1OppUDbtY1sOlBLdtUg4hMgrAB66
mBtVD+fIT8/AWjdMpbd+NIM5y/ONnLR7BqicCxSDJDrlb1NiPhPFR8mjiXJvZzRUCTRCHN2r6PDE
fMAOvD568SXx9mo6xAQUoAej6gcboQSHrkdqQlci7oPEcC/ZEh3SRsSXEQVUMo+bZoSKR9y3KvZ9
VrHsXE1PGWI9vzAo0c59nX2Zk0vk60yKaQ5YyD8sBo1/WpRXe3RgHKZx6Hjlvb634ohaerHu3GU8
gBbRKGwAO+Sgy4tml5c53gnrJa5XIvIddk12Tc0hSSJ+vPmAe0GYtPMKP38vJp5YiTdSPuabbGY1
rgekO+5r/dINn+Ckt5PQHv2OzJ1CID7xuI+ZhiXIlkdiGXDCG19Zrh1R4KEpnBOUVQIYL7M75Xz3
aiB6gP5sA8KFxMOOVtQ8jhYnBMvfa65rnwY9E8XIwLK1ezCTlR0eJoN97Udg18lrAwglyziM1gV9
MyBkRvudRqRIbtIy2aM+zFB2Uf6HyFuRj7w10Uej/6pzBB2Ax55Ubu4IDQpqTIOjiQoWxTGlp26Q
h0TxtJPRybPIR6hjApvT0jA39vjSSWwJjuwJbqMBJMglHJz2ahBe6fTtg1R9d8hMcTJSjexD2gnd
AGMX5W9W79+66JdGhUMzrpEAO/m7tOkvRRT9UceWiYU2Rpxwusn8Ll8e8Ud/A+348ValYZsRNS4y
sCyk6rKRQA3rZkx+CCqawSGwAlj+5F3MoM+6jM095/JhmO9LLw60Vgs8Dz9ZTzvNdHVBYpQDJ+5w
842p4CyeP5nfhgZvT3FHUs26L0gmvooaYRYhfyXxY0hCwdZbrnYbxiRAi3zNHe/Zzgr8w8DcMv13
BieV+8hArTKzfWMTuhl1iXsgZTyXYVIC8nNoaGw6MnVScr2SwUIe7My3rvvFR3yFoXAoJPpGj0xF
/DPUdB4oyjaz9umKDK+9LascliD5dhRz6DjXOMbIplX3y3KFzEUZ0QYzni89/c45/7Oku6XEcm38
KScnXbZBMaKV040npjUuwmQ6glgP5dTclQRKtM2jchdGkAglFx6FeWptCoYadUowOxDFS4moUi9v
IPpOZmH/mJU6+YraV0CPRJqVXyNmyuasThYQIASa6/6mlNvSW3a1sn5ab5PME5y3Ny+P9ksWwawy
jy6/Mk/KcHLbLZ3H0zAc8cIFvudSuAB/iodDfpcu3A9hIq5QIm9Djskum7Yaeq6lzI51z7qcWrHV
tg2oK625yPFFIs8Eyh2OGXLOMYRuPfchPN+j7+4Q9srlQA22Je+Lkr8Jq/yQptVGQdEY0Dn6vblt
kE1MKc5rKEEGYzSt5cQBRLEQpjkuyUEJC/ldH062tlPxuCcCzACaNjlz0K+VCIMrq3ky6nEvbQQH
wBH1PSiZsJte2xUf6pC9gphGFRXCwHYb6VqoJy9FveeGPDiRholCbA01syEmGLGc9rN+r5Ap8WvL
6C0fGpBc5DBHdaA5Op8dth7/i/39NquAdk7eDfNM5N0XRb+b054S42tIIQ0AMdouAOvatKDUNV+S
gh10hXS5fcJjEDZy3mMVJZ575p+jULdUUOX5Hv4C9x5fI4CixhjdDOtPT2iNliIV8Q5x5Ya0GEFF
nmScvOiG++QjrNBqTovuEfnBTrgC3XF0KhP/UORv8CCU29Dygdlkjp1e8KXZy502vLRjfmXUdUiL
+7RH6rzoWwA2z4M+gKCcsD9uLNih4FD2Ij+YMsUrULxXHt4B9QGhW+xxnp2pf9ywKgi96OxrXTHT
WapnZEWPrmvdT1p+B2jxEk0RcYksFS0j97dCt0yMru6dYVqEBrT9uyHgv7e6GaiR44jg02+iDL1T
3IC+ZbNzjar4uWZ03TLq6ijGrDm+m2ACh/EYN6d+ZkChsQBqbKIRkgje9vgpkykQhAqvNtbiVHaK
e3Rt9qLyGy0RvY+g+IbaBSZgPsgyo7wi7PdCm47sG8GSGHYEs+w71h64G6l2IJ40qLSd5bGqERwr
sI3qu0Tf6isZLtlHnS37Mip3sLsQ8ED4X8ChyXdtuHpTt0MNu3dmKj1WJZZ7sIY1Fni3NCe/xDbG
pAf1PDTKGbSHti2nhoP8KpDJfKTOG2XEMaETkr3a1SmCfrfLmCmw4NLi/bLU8He/eAMPelzufaMN
8LUa3UwKoRHGgJ4ctmTScHf6NB9TQcYK5wqUOPz1xcWrQpTghgPCOEdsWWURLE9znSSucYyllbYh
erJrmvbDBS8tO2nNevVE/yiniSajM54X9OE9s8PTAqrrTMk+hRIT88bIC+pIbnHD6BnmdQtG5TXS
kTvb2RdR452trnh1lTAYJWg6FGaWAJ2cMjgAlJhaS2Q8sOURVjLxtIMwGQfEDThp5BwHL7vHkwDQ
RNVf9QgxM+3qS585jP6A16EbExsf7eBzDcHcJb9IpfMDetbnyay+pKJQnnvlHrwxEXs589Gn7XQP
L57SOefAKkEBelrMjkxNxUNiHZRZ29imnS/EJu5zlNX9fWQ9eZF2dErX+Wms9Joh3nx3p+I1sZ1v
YikT2Rt3aJyQhJP9tRkBDFjjkt13DZ+2YXJJcLl/qgQnluYNFz8by7tIRhqyKs63whxWQi2VhRY9
+AiL+JFyCInD+Sj7egjkhL7XY5R/StDuiLa7+oXTQbdcYBuJGo9cTUG8PM5dph/IXQSKnMovR5cY
6ZmXxDH83EHE3WWMfxAmNKT7+O/RUNHCJ7BPEhPc2hJS60PMlcCG4YWxmUNQXpmUelZHk4voctMO
+KXbfnq2deTW+dHvgYGkGcsXCLLuWBz8KtNPrYH0HkHhkUCOX7ORnowlRtIJKf7SYyK+5qv6s13B
Eov8tk2MA11v95tl+B151RnRDorqCh/TgGo/GqjX8+QlFTpIzIoZqdKp6A3Bs9ok/GXs9GQHDppv
cfeUoO68ImFZWcFGqJY8PWVRvJeu/1u3GgoxKFVBTtp1oAv5WNpwA/uh0jZiaT4Sd072ZsvDVvUI
JTTyv+Z5fWIL8Jy2C6wucom479aoSSd71gZqLwuVS1UT8yhsg0wL0s4GhKQDMdbbesR3VQMwD0HX
Z8EETItOHEBQxsc9lMeeqLm9ZzMrbE3ApCpmmjRG/W9j4aHQTgJZaQdsVghj404rJckJSiv6iSQv
0Ojr/mI5V9R5m74hyxEVXrd3K64Se09OsQfi3drAi2iPpwXK3oz0kK2Uv80KbYVW8XMNg8tdhSUF
2h9Gh5plRxT/ACEarvVomOiJ3uclUX+S5ZKm9d6c63L1OslN03GQAFAOB6MkIBXV7U4U8aOZzPII
C7rRe5d7D74JPuCccS/pIIxL0OL/xsrEl5Qc3Z77OFwomzF4l4dmyM6VQ5SAPfTtZsSrveXopRP8
jEt9AisCBLexm/ak5/4FplIDImNgp+rCb5rsbxwv6a5cwLPBvJtd3MxOPfH21kRui4TzNveYolDc
IhU5Mhf/wpD70YnoEvvDGVBef8ta8xFrIjNTqS51ohE2l6VqW4shLH2GVhZLYup4E19eWW0wmBT7
eUKoZXXqmOu62vuQiBNnekBdb1whsTgfDtb6+w5hPrPeZdn5VZBWI5MovEAbJEfPC7qEi4i1/UKs
+caduygEVP3k4vrh0ckDgQxqbzc2w8rk8/Zk9jyRnm4w27qkTBi3NoCbQCpIW9K37mdDS/Dz5i1I
KSYodu2inoonciCZKwURGthz28zbYprILu3tXdehHZgyGK65RS9STxpNucMgK64WFpYDfVTO0xOt
egnltL6jjBdbU9nw5Icnl/dhmVL7g2CErfAv1UTJq0RDapiwrfXSQH9pEMq4HgI+ttSjHn0Xgs95
GYEi+pU6puBBxNjeSaUHWmpAPCZyjsBE0H0uqF2pw2t1Jdm6aItpcrsUBl5XoIGySvShDXES2q9K
PzZc2pvhj8Amhpe8sX7nHgZts9M/22xiAQN2bWfZPyiQaRVmK2zs8V0UY8i8Tb/Yz/PoOScPtahJ
l330IvuY2IBN4wWa+6SBPB57oR2WfAISAH8rk0RgWYXmPsTklj4QLfVn9om+GXx06mZr0nAYDRHn
EP+a6pBbLtKD3sdgnAH+7KcBJJOc51tEsDMfbv6Y2ehWHb8Mh/xNN8zlOo6teadKEj+YnYIdm0eS
3qz6UgnruY39JsgbB2HykvN87OPQy4jrEpOc2J8THujIaNeNo8LDx3/gfVMXack/jehfImURUqdr
wPZ909jNygl07ovHHMIa+WrZJsLacKhWfoXjplh6BzIaVhiBRgZ90bgYQWvmeIWe92c9ZSEjKht6
q0/EfQ6MpDHQPPipQQPM9jHsdcVgWbbOXhNdQGPXbKvEexmpVZkgYLJrEpcLQpkxepxpPsk8PBlA
YPimezcb7C8jZ8BH4KBukOrHU+4tIb46U2RcOV2VQSkitzNqS1zdKkG/4in2UqlXn6fyNqaDeYSF
kIWxYvljZabDYsj4qTFgII74AHQ6nGut/FSAMIcFvq8q2WfKB8hRp0YHT72Q7rZPYkaP3uTjGQNs
uWYp08Htq2E+zsWgU2an1NOzt4sVmKBxdkG86qLfFY32uWCDvcuMT/hx1iXPnR03y9lvTS8U9nwn
ioENUoGnmrdC+lSJJkXQFtnDuM46Ac2vNB0GQzfyIW+C1DAQh+g0nHhEmZ+MOo7o1g1bpkGhkVL/
ViMPHT95zgG8BBFgQDhxNv03upJQVsWEBlPrkJ9gYbAS69FfCZRGFR1bpPCZ7/OsgtfLIbhsYcww
+fYSfmRiP1Y6hXVRGSMuL+NwSW3IWzm5XDt9kAxx1S+9AUCuZ5cJzVgoG4uOhlBbl0GZni2c8/A9
G88MCySN23SIh2NDOb+Zzcy92o2/m4aYwGHzSSqV3OcISHkrojuBpyI9hNYCdX+7TjgUunwYTONT
YYlL7oHjdprh1VAfSZc6D/r0y0ezeYTANG0F0Zll4RwNP5n2RTqXtM5jx9c7wVMAOZIqE3RTDWuR
tDfeNyftaDP6H/153TECrXD4AAZwDOfEnyTjygWGs1QrD0NwKwxFmLQIMmG+sdBtdeSXC1izor8k
CLw2yFLsvevRlrOEfZk9+5otfIsKiXSoisxnrWIAUk7FcjLi4b0rI2sbS2qXEl0Hc/LmaEsY1iRu
bWQhIDWpFU4K49CIPOxMVufCjJ+GAEgqGCR0X53peS9TCx9uYlwnWBayijEuVoe+RDYtM/pswjE5
vxtR/WkZ7i8gEfat6ubbyMQh97L0ZUinN6dMIiDOrKGthmudAWUOlCTq1o2hKlUNZkPlL78a5dxX
uLiISx6D1kl4vOPJ2WmJ+VjoiJl9QtA80OkI19gaiSCpk0cjdZMgX0V73NxeUm9MR5C7NOaIHuDY
bgtGugPsJtbLwADKdNi2NE1BbadYqzPjTTKyB5AAiTaOvhVOL6418j9inRLjDzkWxow8H8hcE6AI
flzInmCawlBJzZJ+gUc+G/Vim4qjObr6GTPxNufhfmVaEOfuG0NuhEKyREVo1fV1MihmHI86ARBR
ENdL0C7FjhjumXGb8ThmOTKAlFfdoBIjjZBnaqL5QJLZSqNBAuFMsZ+cc/1JJE1zJ+x+viYEOcOS
CLzYHEJN1eYDrg3zgWOBng9+X9W353bNDRRWducbEaewavGTSDO6TQaj3E6bys9cMFOuEq0IIlnb
O7/NowOv0d3DY8d97FjlnpTQCHlMaW4jQOwBxKv04hducokpgf/+T//nf6NBUmeFAIULdgHDeOGD
7DFEt4bOoUg7BlNvPiuDZ4XuOFuGcdz4sTntpDXNoUiVgctBPmo9+ipd6lfR2xW0ws44sLEvlbLD
0Ta6i+/Mn1W3RGGdOtkRhYzOFuE6kIPyqLOI7itISIvMKYTVTCHtqGMv0i2oZvRnjtEEiBUsStkX
X5FDvVBflwTTyXE6mokVOAtIlyYHMhXJvgiM2nhZEMozuXY/1h5/b6dIIEVMfEQMi7vkmzz7sbyS
okitPcr52kZwJGprOTUtSYSDW13tZFAn3WgvfuI9dJby78YJi7Zj0jjYftqcDAFuBY8+AUTy0qcV
e0+drfaUQKwbTMWNFC3qYpn6LWbVpEHdlbmlXeWAn9ihtGAjtu/WDOFOtkdZsh3Hka4FjYF7Ob4t
CL3BziCIs20vxtwhj0s3wCOrEWswet2sAPYNKXkAuGsCH1qvZNlhQbRb5lGeMrs7icIwA8/hzcYu
DAVrYaoOPt8LNXOGGxrlw07L17wcx7UPKdHdrVd85BoVdTJ3mGXmg9dNlyWN7LMqITyMg0uas35Q
dZTtC8IsnJZavNc/zfE3BHe80Z4+MYdpKbWJFoBq5+wo7bGPT0m8r5LJYS3evGo6Yn/YUiguvYhw
b4qIjZRt+xAxm6DcfI2US3xM0r0qMJmHXgJ6EL2CiOmMH15PNRCDktP7g9727mtZ6NV11PkW+yPD
6SpOHyv10FaxsyNnTruYmo+6s0bNOTuPtk9GZj1+loDCtiNjr5KJGsPsIt/FM57pMluujqntBBiS
7ViIB8cg568vkCFosoi2S9S8LVP6IzJ8jwZ9semzPM0s+srO+rZczlqclb8My97Ylval9eJ1YuZH
CnJ+BaT57WvW/eI3+SFx4obC3HmyqXcAJIQOPC+2W2zTmMpAU58M1pnan3YYTmyxAFrlfbeh/i9y
EiOiwWRp1CJuNYkf2AhhhRpH7lYL9LQYCTFBTOvaYOOHhKdrfPBrle78BelrEsefsd3ubN+C+9aV
VpDmbk4ij8B8CjrfJzIwQ468GWsOTCASR68ZEBQjREmXSW7nt6bEiIDkCi7nkao7ixHz26qyQ5vh
fV+hCII6qG3rqv90pAnWvfeDskKAiEcQ/Uw0tSEJVqx36FYq0j2h8hf3ne0uIZfxrLU2rg1NP1rE
NKLOWNOD1CMqbSzwiLobpA1zd1NoctcAxh4CvAv+aTLJoABVX7QVGAeTO6jQbx1zbqx197OdMNNd
amyzZvlGj/zdW4rHkJpAKEI3bJb6d5JNLptLWo+kuhnpqN/EE1nkQSZQFWQW8mxRedG+syC9u7jv
EyK27A6xGFEqjC6xFg9UhCYpjYkw9IPWNgTTezATbPpoaUpjU8vVUCnEKwaTMbBHKPbJzIRFksqB
8YiYiz66dCb5dDy5b+T+gJsb5lOOe3WvGfVnlRk3t/AZXJW6fpxY+0naH1Hl9iWO8TnGeINMIzu5
Ij9WeffOx7Ty3ZA6YbkL59Tx+PpMB7BoTxWAeWpvn0zT0kZb060onm7SGFyiqFDrlq0CkQGjiikZ
wyqvA3cAd4X8PL8aELoduoqgM7KBWog25t7E4b5pzDWNzeEYTrT65IwIdNuOvYYGaI6BXrYrxmSG
V0hohJUS8edMTESN1547kNiLdNPbKU+ruoLmgI54zIufbqUHR72z7MkxCpi/q1OXfenQhcI4yT8k
r5/lRBaiTqi3vpaSbbkdau3Z8wPP7Zlvy+Lo4eHee6ZpcgfnX/7cNYcmqpn7ec2VUNdVo25uSddW
QXJKUjb/RUt+Sgvphu+YuFUT76di2Y/rhiYIcc9EPCYMt2aKoWvezUhTH124Nxt6pAtvboKA0iWh
u6bfQuV8zScmthTD0J+yfMfYhRthjto7pFEI6rKLzHT3fsKKCOqkdcJ6KNnvtga1cqOOJKDTJbpE
v+DSCiFxiac1u1TBQwL44HILVmjzNF+/MFhJc83fa5za7tIBTB0txJ68mVuvIcCef+W41PcamLBz
CmFuNw6MfwfchUi+26Nlm/N91m1tEKSArIo92dPGb4dRUw9Wb7uM+YGF4lC5t7QDVZ60hDw8gjUO
K/HeaJTTrNciDI2WfBfdk5FRHnGWQsAAbxC2LpQFPw/j+bOLPg1e9WLuph6sE/2/5v+JCoRVKnR9
eZ95C+XtKS9FMGCInPg8LPdP1D16VkNu5I+KGbeU4x43c81WL+FieH59VD4g8b4/9THgrdI+i97F
tpCfSmMMPYR0bdIfH8aa53/h7sgW2ciIDUqNUnSHvECgzC5m2DEglsW1dGGaofCfTPNmo/tI3027
DR26S1RGJMiZH66ZbKFbgDajSbKbl55UYXqiO8/R74UyX2PB2mGwUvSkzrcxM00c8i/N6k6xJ98E
KoKFaTx+/d9VNp4IEJJDfYtHNlFKPy6Iecu8fhI+81Wn+5Hdoexe8+Jbry8pmxDffu3kmdg6VhXW
a+MKwJFs1zFB3xu5tfMT9uDNNqpQn7RkD2fInlEkE5nae7/qMT7kY7RDA3HsSJ3X5xz8K/zo1tvy
IjUrSEZtg598k8ZvLkKYHts68+ygs0gA8n6mtL2Pi5GmC3iMbhzA3JyYA5zw3ECrY+Wp7Qkru64m
CptdBj789fuy8ITE2oDqSGghuoS7nnJUZQ9V/1a5X4tO3tuIJrlj4L+k0IcTRoaGiJ7yjgHwoCNn
I0aJaeR9XzQn2wYX+VQoiv7WWZfWMIp1uaYIpYdxJiTHcJj5ZeJj8IYzZ495mkhtqBL8IZFHETFC
bkP8dVDgzECzeixLjQdo0syxdZJJE+H9tgqTC2cHNHw7igedRfTAKnOJdotl3QbT+BItR8bsE6PM
ildY8tx0+qbJsBQi/NaGN4cSqqFyM5MrMHmY5gbWlXVnUu6IbwBkpSDK75yRfxX2h6oQOps9uG+m
HDPr5GDUq7dYKz7Jb7m3gE1Na1lCq2z2xZc2ZidvLoAv+YfS4Isl0bym4kFSocbdfDD7RG39FAES
2eIAFT0WpZw47ALPyIdGinVijxENYftAEhCsQYZ67D8MbSOgYqHCHqxp2znTsSfKqfbik0K0P8z1
jSktuV/JFt7SfR8lH7o/v3gulAMWUZvJMbeq666JTWShR7lnMgdLkZGQ4cumMD42U7ttbO2X5vd/
DMLsC+uAdJLpJ2LJVd3StQe/tUOBAstM+/OarCYcDd0qO47cPvQ9Z8woh62PgLXutGMFtpfcV5I3
44NWv5TixPz2PEBEKsf4WIEpa5Hi87Ah3JYKuJTuq1VR5xLsE3SOcxk6+y2fvzOi4NqiODom60Ur
8CPjOepwidoIc2ftPVclQ0H3qnHW04O+YQRONmkEYQZg2QW547Ys6iCdZaggI1corYVX7HDrspYm
DSwTJ9uiipSDvNN5Om49gOZN/TkotgZDQzLKXBpbr0/f/snH91/44wwb91tdzNBOVxefq9s2MeCO
4QvHsyzsI+uff38+YlzrMfn997rIzLmpgCyylVKHInuJExw3bYRYq9Ye8zx9H2w+fEa/Ppi9Mhmv
VuPm287njtfnNPjr5fzD4fiP1/Of/JT/6V//5b82Tf4Hl+X/1YH5/6G90vH/6VNZ3Zv/cGXefZY/
/+O/nf/X/2y6utfO//avX92//Wv/zzbL9Sf/7rK07L8JHb+UrwvfM3G+8id/d1la5t9MfI2Gbwr+
27EM899dlpbzN9Bjjq/zx55wcML/u8+Sv88RTG583YCTb+Fk+H/xWaK34bf8850EUEbgr+TvIWXA
pQf0/uOdhJJLl1WcMSZDDdI964MBb2zqfUbBHgEHOkrr6QXaxY3k8y3QxWxTs+fga0YVMyTZG5KH
twrsEGIJpilosO/MOv+KpuzLdnXJGBB2d9ZkgfPlVkidU+bPSH27ipW93j6ZWfygHJPRzYCMADDH
YpNJ5jYuualNjzAm9Fod+ELFq4K+56Hi7DfpQPUE7sbf+rV+FiukorqfkJGHS4L/LGq6raZ46lQo
qtAx86M6Fj4MBvAnzIpfIlC5+6J/pnaVSLHZOBa6iUOr859LxUSTD0xj/QBVy2MjN/GXRPzaJK/2
TivfMxk9i9Y5pRQNsIy+zIG/MtJnNr6QIEKYeGSNrYwRg3eBZuchZd22QYHFNbIRRzs+4oL1pUG0
5opFEFjTcTWLZV/9BCc5MxL4kVWO6JoLaLQY2Fow67M179Nq+pO5XbzXm+1fbywruQoy1n650vyL
ADtAa53O7H/LoHbtJ703kcVhdy8wCEV6RzyIx1XstZrOFFVDrPu31oHn15r8ZthmP47C2fHX61/n
AgpVGE+29Ouv66ILNIWNW8Jw4pWj4HyYzPSg1hi5Vskh1LG3KhO5l/HmTGlMFdlDLnHfBFdSy+ge
2T1j97RwN+VszHq5bXayrY4GKir2B1xzDwmTclDNLKj2Cv5KxQQkELG9HyMoV6wv0DG0KQ84w3u0
xxg6IRwFkG/LTpG7yFp199cnobe8QNAMbH7F/+buPLbsNros/USoBUQE3PR6l/6SSXKClUkD7z2e
vr+4rK6mSP3SqmkPRJFSJhMXQLhz9v42pqkIIG7IIXYlKGmlkug305PXmQ4v8DH33DYC+mDWHBGv
YGEHToG5qnxGllvsAeuVcP+eF1LgjYRrr8hP22o+UWjgN/HsYm/UUBHrEW61Z+ExilTCuswLYPru
vUlRO1X4/AwQ3Bu7xo2Ji5lnNjffm57vMJx7z0TRqpb1tBgCR3GGOSiTPwcB6OtzCOU+UZUkBQRD
neswBGVj2SvSmBuLa0l9+8lVyxNJjd4mq1pBEw+7ToI3YtGPHqo+mx/7SxaFO3zdq8a0Po6lv8/r
bqPHal3b9zlgbYODt/5z7ELRcIblYvX9HhkpZtmEhxDkxhUb5HsaEyTcjecADyZKkmubO9cwXV7C
UZ0mXDVLywWac77OFPvyyJK8ww4VrthyHbSalIFGTLBwkrUWjkkkOGZu9ham3Foa1e/m4lyLme+c
qKD1BWDkrMcz0TXHWWvdPA4st3cCMdd9v1xbl60qdDyWcz1yOxt6qQNOUI916he6XjFk/tWj6MHY
f554AswGpEhN/IcQ/MCq9FutwpjuHXI1137Lxkm/pzhUfjQ2Ndy6zn6YOBDwQk0PlAPbzW02amX3
gei6K+XAZJ2W5ve8o/otbZLMfWbKHHnqplW8s0W3HcXnLmQYB3XybkUeb6ZEZIu3+ByRMwhU+z52
mFPN0Pxu2C7UYj5+ZbFFSebkUPf998Lp/HWbhq9FWNzdZsc+Zbzql0e6zDIt9oWtfnZlGLBlgZGa
AYxCruc/DzEAyS42XkfL/mTLrNsTnSVJioJ65zG1IXXaWK6WVHX0Mgwr/ziV8Z4uptj7cVdsiTp/
lb3kADjr3ZUdfnZABrH9kdaWmFok9pBqCNHDGvuprJH1erAeqRr6p2ay5Rlkm37dsWTQQ2w4MLq+
gYaxesxAPe5jDE0b9A4nIZjgFmbq26zGqBrWLdaXQsjNLK+xQxvFCSc6XWZ9btzoPQyhQpYe92Bq
rtPgvAL6jiY+DoR4Exnrvs+QEpHn9UEkdB5NNIuG4H8nsXM/98m3ymWUuOpR9thT9eJSwSDf08RZ
N1WqTi0hVWbjnQV0rINeFkAAUOuoNKjYyuiqu9ExzChU3CZ1Pag5oJgRgkO9fPr6vt5mReaUe9F+
nJS615OBN3HV9cSV3S4d9b1MKgKNc1FjP7c4IoU8eY4pL6MxfF1m4nmJKKhXRE60KX5eapF9JIHs
2X2HQDl9qREBWugI8AWzknhcR8vFej5jNh5WrXDfZB9vAY7F61lPBZzXOpYDkAP+VRbeVQZlukqT
8n5sWLx7K3qnAxHTXylZJ5J3/SXjEL3fhpYKxlcnwmofRw+m+ai/OGn5sUovc9SSjm1oXyWquzU9
IFSEvI0ySyWgAf6To1f0RfJHo/guQ2xE/uBeb39v3xONlebZi9nvobg9W3rqtsjoXM/6osjgWA2I
h1Ar28fKtFt6xc69M1pftZNxEnyxvkz6ICh6kkdOSvfFhGxFOp+dIce7wxTlm/K+aefrbJRgIb2r
/vhL5dF+ca9W6h4dC9wPPbBBL2u3i8LDyPNmRWJTh4uvf9Efl4Ydsh+TD2cbpEAM3srQxWyaas7A
x8s8FrTbBTUeDf2GR4rIWrhcxO0zjiUf1CPXPsimg+fjKg4z1gRKJfgV5lcr1R9F/9KBMVSl8+KQ
JLd25fy1RAadK20v9N6iYCn2NWFRqJZp6fFxc6a/PSsf0IYNobQcPiryLVwIor1lXquk9hEc8mpY
g8DkCp5U6qZtyg2mV36SqEblRBi9fkz6hiBUQ78dcaCZWddNw2Tno0cbWZWBY2bIAKN39iHDuqEl
2pTBt6XgtsR+U5LwDQ8ylk/5VH5SVN3RCbCQYc2+i5zx8fbwelj9yDTCTdVwFbd7Td4jQmGXFgWP
hvAm9hEmDvQlzNb5wFJUe+xI0PCeb9eyLHprZap3H5OSfkKYsTBbsobdrqOKc6qXpr1lY81Q0p97
IDh08ZvjQLfKLpC8YyvhBlXFA4rjn183kRK1Npyxo4jKQ8q98jKDp2Knyd9t9OKjWdZ3Xhxo8j0s
brxX6CpXZcXVIbln9tDv5e0T5zPr2mIPp7gwqRjqR6Hi8Ju7DHe3wS31i11THyin8VuVM9xbh01o
8sPRz3eCqwl3kC/5+bu58deiNw+5AWffnroWfPcdM+/D7e9K9c9qDexet0dat+1HQEaH2+fwouTq
Y225LeaxG1ytpoeHx/akJiPgNgpaY/TXiPo3Y6cAo9k8xUbPTRWboG1qBVeDKpVvurTMjR+3H6ha
/+LZ7uNyG6JOT6sBhVRUl++6c41XJNiU7UNqYgxp+k8y5RThDRLzd7rs8paLzdOeTVDzdbApud9m
h9tbHwroyGifxpJbgQwA2361un0DG2ZuYNIfjdl+l4os3tuF3L7wdtORUflUv/FwZP19qXCE65Wf
95Od21x9CoW979NqwRsONmJmaw76e++4QwjXlX2Kz1yiImbGtsvfZPgK2hZTJnOonvaqChyGip+T
GhUdptz3pGeVVlGxcaWAMluy5a/n7k54K05xVJN9SWHTJGckRc258v0kwtnfGYc+yy5Lg1s6zmFI
Vrk62vQV4AySEjEsSFnypTlF5DgMZrmQzFHtb6M28HHd6sZ4iEY8rUDIx3OHOlKgrhbzPbUQDT7R
b6h+c2/HMtgt5WZCwak3Q4nPL+GId67UhrUsKTcW2M+fT8GqhmtIgUoP51afg8JQt25MbEYEMMZ2
7W3EgBQLXOztf9/G6xIUL7lXPJoI6xB3EP5Ywe2o3GvMHkZPkfTaT1Zz1r9d9CpQ5jz10nmEYfke
1Mx2sz7f5YN91DOXlWSvftkhzM7ojWCf1e+yR6c8E+nWqOuDHQffiObkpk8hG0++o/OueuenVxdg
OAl2K34KUdVgsZnrH8n6pX+lx/BtNui8aFmTSvNBFWiPF2FsyX/rtulEZHJmk0IU2TFUnjK8yxrf
23Om9VamxNg4JuNDUHJYqGtatrReo00gG+9Q4TWK6TTUgs6ZtzDrY0d9q5KOOWlM4LRY4lRjctmk
pv1j8b1ThwAFlLXHd/FL0z/GxuBv/u9GV38kt1k+BEUmqOHyfUmgp4Te4ifxMIyf++Jo5p2+Pc0m
ZY0ByEMqPMasiBN6T8uayAtM6O9NxvPWU7jLvtAm0GGtf5PY8bv+d+iyEx81gdxb4MnwJgcz5l3L
ufaWd+/MzvH2ekcRe2LDptgHI6R17lwVfLgNlaBnaAxe+tHww+OcRO+B3nTov9nn5KofjNIboUhv
7NOCowZDi611u2LePVswoY2kJ5cvVI//M8iy9mM5FW8tqvkyC+/0liDxQRk5qUOWLqTCCLFHP3D4
GAVziaAhGkOmWyG25ZTPnv92KhUByagMWY4smY5I3urxWwnr2xgfO0atefYEhddYuM9jOj/eFnD9
JUbIxVmjnaIX5syhqxpjBT9j9J/c1rhmS/zec3TQM0FdcXaX2MWdIqOVPL3GtBv0z7x9wJ/fSrmk
i6nIBwKMuXopcNrrrxATqTV5pHaWC2kp0merymNc+QDySLS7H8Yn8mSopfC1rMlADKHwGpIdXDPy
ZQVE5pXHVUWa+2TrfYbeeE6f7QUktv77AyZArVlWuKWHOqYfyK36eZ5Anz3HtD4IfxiR7UwPSu29
Zngt9fsajcxqDY0BUVv4upbmKEb0l/SJ6Juww8q4bipGWhx7KctTB6Fy20jIvQmHVdw1TH60wj/Y
9QMJt5y8uNNkYND5E+Mzyl+2Orwa7Fg9wQ629cctPIzT7QDcyjmhdPN02yfT9Mel6izdFnjSO0X0
r0N8qSpO3oXPY9T/4MlwKTI1vBm30289k3gT0gT2GTB4Q7lOknKo9oMWgTG4Rv3A5jGdqQAl89ku
pgfsAZhWx7A+zCa3MlLpSb+4OYfuonqm/460kjtL2tq9i1ofua57bCQ9qanb64+hD245bJxVAP54
fTvc66JI7cdbPt63xWWBu734t8LJ7ej2S2nxbwq+ugr3S70XkZTNzsCkWmhCxPTFb/XeMY4sNUW+
zWSGwkSpH4SA1NQlcvU1LYO17drb/31J9y7+SoGz/NH9jsL7S1X3/8PCr8/t/c9Yvc33vmu/Rtlb
8e3Xmq/+pp81X8v+L5McWtcnQdsDrwc+72fJ1/4v9gEOjnrO99hNCbz7n5Kvzfeg6+frKdHatqcr
yP+N1lPufwkqsx6wC2lj0oG6979A64k/6KqmgDFP/8ByXH6Ori3/2jpY3IA1GVDuulfdjlmIxNzB
cRXLeD9saJj55MwkbCn7meQLv18Az8GtIaq1eAxRi0mQU3UCrWLnZ86drAMgIYBVLpZh1VS8KmAm
+o9ujK6yb8ZvUIzaBzaMuHtGxPXGIo+/3Py/GRrytwq2aZng/mD6IEyzUcEo/f9/6YW4KFkSFAhU
gCr3zVhUcPb1L3aFRsDvP3miHDB2uel5FoYmIwTDhZTN8RIsKapJNxm2XhYfYq3SpXF8NctSS7bb
CzIReCxZoPaVhaKoWwbCP8rIuwAI8y6OIoa8/ppXh5rs2J3lhONdHpf4DkW+j4Ziefznj+n++TGl
EFKaQij6PWST/PVjlnAYFWwcZBDVaKPtrw2yysv8W9MShxPH3UDBjQ5PSMcizqWiVD2jH/ZD+QEH
cPPQAR6+RSJ0U3SwKn++B0wRvbAFvCT28uCxYB56jKiPics50qkc7HHRhDqaaA9uZgAzr4aVhpFB
C5BMdsf2vlBHojPDhyG3jQPzEEntM0fVmmpYNYTW545g8o1kLj+MU7ixnaK4b+8TF8PlMPol7Ugj
oTwMFmUQIGrbrDhXY5OSFYRHR/XKOU846Vd2Foaf2sFxdlmbWLvbH6dizlYVS+h9FBfe2dOw8Gwh
BV1WyFuk89rH9ONWotMIN8e9N+Z4WRtdBpAZquPFTof//iW22v0/PyhIl3+Zq3kfmaqVLSXqdYfS
wm8PqlNt1VYOtPVJdvmukfThsyrjx8dDdvCIQuoz1ON5Iu4a4qTIj04Wjraq4zCfSFR5E8o1eh68
t4Cv5z7EljObz1DnJaGQzh1GM1Yq/Q7E6ELWYVbGxwJqyHb2WBG8uLXObirxdxE4vPmXjwYS9Ndl
SH803mvcWcqxlXRuzaRfhlo1VuMCYonNsymbg5IhS/vk5PcjJ8x9VANUAeXl7n+iur2AYn1I1RSs
gSTYsaVdW1Ual6PIANmWPicVwWBxPEHJMwruTYqKl4keOLET8+WfL936m0t3BYd+ON22BIzwe5/L
LLO6ntEjVn6OmAXwCECgjEI4Z4Vi9M5Vh4vUt60YSwNwQhsJOLEm6fqfL0MTUn+/gyBVbcUSblIN
dn+bfdtpnLrehIkyNrW/7zKKSAqDwRl46IekC4tL4Iv8EunfzWZR79uieo1iXT3zsAADDeH4QPa2
8k+33012FPz8XejQqrcGx1sNRt9cLDxrxJXzfPp2xLJadM2/fZS/u6OKYrpl2o7vS6k/6i8vQ0sY
2iwqXD+9Uc3bbkqHcyef2wzL0u0PvR7Ut98tZdkc2GrMh1i/I//vl2VhzpgTSvF1HHu721qRQRww
xuZcqAo5W5v+yzz6dy8CI551j6o2123/9iJUfSfpC0lcJIPcFEaoJeAW6shkQr80WOSfh8m3vLH8
Yx5QEXcUnLf0X9YsS88Bv+zn9EBid6Ab99RLFJ3Qv967aTF7qns1Nd2KNJKlDr/aXmrRWYCwxzxv
XvyQmnAbiwjbSwzPsh7+5fFZf05TyjTZVbJHYZZSfwyIOc77icztdZpl9jmyOrkBvlHekUdI5dIk
X6ls350E/fJMjtk5xqeHGPzpdsib4uplKqLpzrHBjNXhcDbHMsVK7GM2/+cR8ze3SpmudE3bddj6
OK5+DX95zWjRCPbYMMAiAw+wpdngDd6pkwDugWyvvtQuJ2rcNOoS5S/sj6PTP1/B7U789WHxnugt
uK1Mtmi/T+iuYaVFLUQJ3/9gAQ17maJKYz0QbaX1Zwf715pEq5p2VfsBXLfAmAGGwQabZXi5dXHb
tICXuJSg29DxdV7LmAfEwbEMoKXPLEvBkLNF0jnPZovng7akOgobSJ9t75zKLz+5A53XYMY9eVvQ
c8I3NlTnXkWqFnK3FnUvGtdAj9XCdNBDbHKgcP7zbRB/vrNgQthmIRsypSdumpRfHgS677DsyFBf
e8mJqFNYN6Y/mqTeuSZdqO7On6PhaPfZqR9a5FSOSc0R7Lplzecla7KTO4Djom4y7FgEwjuzIzI1
ntxj12XkdseR/y8LMTvm38aYC9SaVdhks0sH67epdkG4GU0sjz83TB3Ynr0zivDSyLrnM/ifxs5B
U5qW91kz/ASO/8cQA02n/usrw8/mR2LkYL2k2/XXl9bJA5Ukqi8J0uz9PadmvFeLNMJ1K/v8yiUz
mMx0/Lcx/Tcf2WLjoWUlvKim/dtH7gKL5l0R6h9ryHX7VvQJjrUqdjeTH2NNdhogO0Veb9TsUzBF
NAgzLDnHmbYEkwUp8zY/pXa8bCYQIPo88tKeaWI1/7Iaiz/XDtdiSCtOE6zGyv5t7egKKCQTin1d
EDHfRyp8YQT4RvTkXcgo35U2GNcpb58SoyOySZrtuiG2pB/qBClFU9prkdsI5eMFaGmd3k09/ME+
bRE3BkH3Yi5UiTT+9p+HgPrj/jJTuq7nwC8SyJw9fbb6ZQigSxsMOegg0CQern7h7md6AW9zSWXL
jGaEa1N2jzjRPxvw77fW4rwtNiDSuXb6p9F0XzqAYp86YxL7VGCqauAwd/linlXnmWfh02MxYNCl
RmWeOaK92I1hPiNEcYg3bMo72h7YYuvoQeR18Wj4hJQUc6oeixBHU0HpGEds9tFOZLkJp9G7VAsG
rIj6h6HoM5f4XA5D57YPlbv9uUWLOwCDoQD+zi4kfRoD4cEBnt27gMC4nxWF/zgk5B9jggfu+Ozu
PSnUn+c0SrZ+Nw/GvMab4DAADZcEm94/tV7hI9Av0HqaLcOEcFnI1XQmpL8rlPocOCU8ECwRWwkE
IOsRlqSI85HPYItBTH9omhQjeTiCao3VkYRxYjBI2dnI9p53ui+rCnN93j3ZfU3UloV3O1fqDO6X
vfhIpDa2HJqms0HaBhrLup/qnUff9F+mI8R5v08Krul5JqcD9F6ovtRvbw98isVLJIKQOMOebJSO
9VgG0TnpjOjVrtiHwtawXnJog+uqW8ZPTRZ9H9tJbJc4HYhTjmuBhgEijMFau3Wqeb6vMPPep2Rq
bRMrjLayt8vHvjFOt5McLYeZPu0J2CP8CTtsn1DJtk+i9SJsKRyPwL0qUpiwCjbFe9uMn1q0oA9p
1IJoacaafEOBRVMkH0bfAvbXeTW8SGfjmy30CoCX186wnF3PI9mGIYgeJa32KCtRvmRJ+DLmgbXB
5WZcZGSWZ8sHHBm7VXiq5yVbBxl2HaOZO3q5K7du6Njpb+zBWqG0zcxjz38f+orskCqlTouL/JB3
Mc7QoMO5QTT4cRpsrP5lATHGyHx9Qho09MhfLX3oHZcKJTiJZTQriZJD44SPS2R3QTTDiXGCQ03p
92xj+dpRTv5SquiHGAZvh/l0AYTu62AvwESFoIxw2xeRNJRuFmagTWcYFocVy7pvTAxlzZBjGEjn
TxN6XD3d1xKvBCXZ8BD0fXw/Gt7jFMzOlsmwvAdRjikuHd9nhEUz6S2YziPZn8sZI+ftF1yP9HJ9
83lGZoCOMzxFTk9opRw/BBwsN6Ombd/qHLUW/Zbdm5MKVHeBfRjmlkXOsP23ykLykM70MyoKmRso
NaJicG5DPd/2PWFiqiZphd3SfQxlkcSq9mGUqORIQj817EfOYFaJxHXa4jEasA5kvXoHYIbqnlLH
DulaczHi8pucJ2vfEX4EQFJmT0vzdbaqC+8n3peuWO6ECKutXwftRnoccRNYyU/5YL7GZUyLJ/HN
TYTsZtWMIL/csO32MX2uO88ZNjRJqZW3srmCc/M2C5MCeHnMnWXa1J9NppA0me5v2WbL3AG8B0q2
b5CZiMjEXQn6ZTd7EDEwfoEGkUt7zCw+TDu4zrZqySqmFWTuTDHYa+xrEGUVQuwSY+0lLup0988r
xx9zH8uGUEqQiux6f25ia8sjCizQaAU4zKTE0E934uyu7TB+NPDRD4tWKP7zz/zzrElCFVVITuts
9Fmt9EX9slr1brIkGBHg0tX4aVOLOKO+O6VievKhRMcerObcLa2VE4CZybA4YKA8BR69V+m586rw
skesmyTAhe9+CmCzh5hNwiiNXd76jrvd0zhtEtR0aQBUxLDtf5kyHbZLv8+ZjkA8SxKIshX7Tve3
jVTCwg5tIQLPoag44LB+aqaUZC+iRfHeclL0ogC1ZAQ5OBZ3g4HfQRnJM+TtKWQIL7UAzQJ0Ky+2
0CIBvBv43pbARzlYRd6mnoNLFNkOOrV82cVF9liRCLK2Haa60RuKnRU2T8tCARQH+Y7h4t9RkTkO
VkGKrTK+28jzscNtDcdQ66VMz6xxz4WwvedW29c8WsMNYqYNxv8E66QV28juEdF0M8oykQXdehk+
Nka+rYulO/c2xgTHbCN0WHRijOQ+D9DKW/2nwWH5wwmMQ2/wGaTVIte1pFelOpp5UbWiwfKhaGBt
yyr63laEZLSjBZ1qoFoXuvW2M/ofzsh51k2KBxA/tPLnre8b57EyLkX9wQva9gUUtFVtyxFsGfvF
bj22KOW8ECLntOSkPWHc8qjpbjL/LTSnmD6c6WywFRJCEWB3VHjBMbemq3Z0PgkWuW3b8fYBUyQa
vDhm/NgmDaezWqzHyVDVS7HO7kYpkycQ8+46lDjvDNG+SnMIaXI6RHw3BrKufNeX8WNJE2gdWyVh
oYFGJpGWuG8t8lTKfCJV5Kl1xl6r5jSGPej3gbbej8LsaQKxyworIBsWGK7exWdl+NNrks/vUwTc
Zsx7gk2KZOTRsj933xrAIWzkxHZKbSIShuXkRWhtMvRsuxYpSVqfiRa4n5AmYefHXSS9AFNqKbY4
gb6m43QJunJ6CFGK3XmlRZNtfm8LEdOrGtdRBtLLpdfY66Bk6oJsADGx94lRrbvirQs48s8GfIgq
75E3BdGxJWy090xn5aXUdKgmUKbnQLxqm9Y70atfGlPt0hrB8BJF5zhOQQI3n9JITjucfd96zCwP
U8W2UuZVuuf97zeJR6R8L05NaJ36IAUj6MvvJAY/g1LT2kHia86eFr7SMH0qm8G6A5yTkxUzPQkd
aBUO9XtU0b+cgvG0mN8dYLp0uNNsnaURNtuJVzzP1GsdFvaq6YNorWg2Ct6944i9PEX0N2XdxiSx
c2cvOZkHEicvqxcd/5j9Ic7ESFIEzovqa5hw731GMnkwGfnonuPQGQdkpH1Xpxg3UNeTWIHbEg9O
Rt90nqCDkSf+FSrswQ+TDhlSLvZ2358qwSgXVGd2gORIFACrvQ/gSK/rgkWwblJUVV0+HmJ26018
xpSSbnxyA7fouVq6qTULVL1Yyx4zxUvPxn0bIWHdZMdc0OAgeN3Z94QQN+nUbWbhDYd4cghzruCB
ElzDLmn0dVDGQPK1pmZa47fcRTWAjCOJyq3F6o4z1N0OKW/aJKKPWY97w4UrgpLXBlfmQu8AvQDS
PamU9vBi6kQC1TjQ8mbffJGFaeudtbVeLAFZIsIZaeTjNVJfgw7zaON8o8tkoVA0rzUzEiII9oLA
W50DBEncoBZ5yhlPJiCREUVusie8EkLA8tm0JhBASfHu8NFEhYrK9tXEdhA8YhPMa5RzhEoMzjUq
ZogICSb22DJ5R610G8xHWUbBJTHqHUlsiL2knHejiQlVKMz0saoJIjYDNBZW982ndl3lOWEChVfQ
cH9s/PSEjfsqSHGPws8QsZB/D27Ja2asvAJ8bGMARoSWE8VkVCcUS7eJT8x83MztGs7fR0zwqySq
5KdG8huDFzf3B3zQXnwoy+5rp2eKkuG5gCxJp0aju0cIWjSctvFcvc0VmM64GvuL6pwvdotqJhqX
L1H0I0rSGi5EPK/rFj9cCjj4ETvtY97AzatNtMa1r1lPk/HZ85H4l5V6dKqeFKSMBUT45nxpInGs
xJKcKAvDQbYTkNxZ/NwSwRMUng+awv7UJbP7wPNlHlymzRTR0HJtEEJjYe2S8XPWtc5TlRFfIuGt
7djUI+QCNdpjjNyMbLYWAbdHWEgXcKKvA9vA8JA9G04U7JOIYKPFSF/Mrhk4QGVfAMnPO49GGOfM
6Eod43vO+eFpavFUBc2htYm/cge84gJZE/ashdcpAx8V5kTOlEWD7pHuAbUotqxZ6YoN4m+suZPK
UQHDq2tV9jrYTxIvdW6TdqwydRwjtz02WN3Z8COk86FxxCkHncZOX4gJd9ZujZ41ITlxi/vrayQb
EAQDLtHS/UK4Mzx8gsJs58KpwFhFQjSntrThRiYPpl08KPbH9JOyb8qv5BOdIdpRHKnnOX4Dv9NB
M0ViaulMrN60P0ehRB8r4qNv9Zc+SZqdtInK8o1jA+y60toTeww/RVYDPaaU47ZQ0YOtirvcGe2L
73pvFLpsJJ/pjYJ2yprWubS2ec80hZZqRH0ruK6mIl5eNJcqN14B+Vwp0x4ruql8mbuTvtx0KRmi
6WQd0hixWEO4B7pQYyMlSY8EXOGMG9ShqKr4SK8JVrCdwwQtik1qAM3pg3JvNXTfFhJFZWh+LRpO
xb6WAMsIqHHsIgApk9duhvHa6DxE5oo3C/Q3DqZpC9dwD72As3jxViggb3iu+3VWQ/qxVmMDbjLB
zJO27bhFHNvAs7E4gS/Qt4XponSZ2geI9SSMZrPYq5pUSeWIr9CtltU4+YQDzq57EDQZNffkg50P
ZLUwlC5xBmqKkHktLxGHsi/fhPEj67AI5m3LwjQPEk4XsuipyVq6ht4zG9S7xQpYV8kPUjAlV76+
yqy3iUbsORHLSxUL+ZkVL9sWQ8I2oh42owsRQjmUv9gKkm6Sw24s+F56RNtKjqeQFPMddSv3fB2T
nBznARg/dTA01qhNst6lP4kybEseRpV9gkj9kqZI0MpyH4bgttfhIg8NkmhbJN9jJQ52hpKr/TCZ
OrdDHmbtDGxnUmrIid3mWQh/lVl7JexHUNObLuI0PKSQstB3I+0KmeYJqXTwKK0HRHy4VNY2tI9n
y8QAq5IV6ZjdoZ54g+fCjx5FnV6LhPefeKEBF9S471rPh/YwPRDEUK5B/WEjbRRyeiv82knH2sgk
P4Rh/VBkZrOaveDCPu1LMuZy67TVnQzHz0PTW3QlsmPY1P1mKNmbNpi/p4Fn2pLtYcYO+86OFKLl
tUfKOFZwMqyp+9Gr5R0lpMsW1YCKLqPV+BbANiawD1rdpLBHtL2z7eX4WBgGBE6y2KfKffA1bcke
o5cGAaxXZbCNzGAD5RcfM87oV+qLV0EOXtpP8lxJ/L+z6exHEBPEveU+lhtyHTgoj8mdpN6Wm25/
57YBwimGRCaseybTYp/GkAgqOxSci7rHoddAjMZ5LvzQe4aV+gFiQX0s2HcIYT6O0Mg3vY2Or4FZ
aVKzOverumGjPVYxKBUcaCVO7GdLUOSeY3MkFeQx91r/mAgcFAtxaidXsfsso30CVSKfYesZsNPa
2GgPIWQFRBmJT5gVztR0Mh9KMO19TpAU0raLQ9VilTKZ5PSv1omZ/+ip9AJ2ZHREh7K+T1oiAyJ7
mFcUX8sXTrv7sqt2zSPtQrHCA0KAgdXtRv6ZzCbfEOZ2HZV6nyzjASPCykG5CczyGEhUYe2Ys79j
mrfa7kdIupuZfG+Zrc32vkgBTTTsB0Wv9hlwHeLJLqk1HjiVPCqAUlV9tRN0kw54wYyKRGEGKwcp
1phbX+im6B3am2+RepJ+lIP7BJl7i9XqSHnGXPddxQ5eGs9zHIH1pA9uNhmwJ6oypbXcVzagH78Y
hpVK0yMI2Cd2OvFTzb4KU7V1aoPulUNJOhCGbHCUWsFAYsMxBqdB+st5yMm59wHKQSvQG/pyP0bt
F9JX0SwCdcMbVq5pol5H+5RBQ9vKzMmpIybGtS2wPLU2b1XgkWgULEj2uNISnfrRZ0wP5FGMfUps
n00EyRyUr3FDROEsniOk+UWyN4v4McMguqrQZZSd+S0q5RMA9RBgnpeuFbzUQ2FZmKAJdA/sz8h0
NPiKKtlgk05FEKZD9UuFUJ96kGZE4Xw3U/vdNKcGwXuAvj+RACwN6Cl+ccfJB69d7dc6rvQJ1sUl
MWMIxgofS1u8Qpj5wMggzMYxP8eu9656CBRCfFLc2ZydWJQb7ToNkg/wlKhgEX9nxo8tW386p+Uh
KtRIAhOa4VfOlnNTf+mX+XNcVU+dTvDom4bqj6o1473bcDCKjyn40SVePma+eoXRe1drB04hoLKq
mggbJU9uU1t3M6E2eEChTZkcgMkvWOcmZ+LCajUc9yGO8ZCBS4toi8XNHtYRdraiyla56JECZ+bJ
EIFYGZZFtcL4SEAAAMd4acJjP5jXoFCn0kL07oRYH00R/SgIjtoY5fJxFoD/vDyBI+I/V9C1ZivM
SWGoLjjjvBNr7k6JlipbQZnTMUJnU7Dpc4gtNgcfH2qVvdWt8dlaAqL9OvU9MSScJt4d5rmgVK+p
H311De4r6zU5ujUbX+h/tKc4egQcBSD7rLMJU2ZvQMid/XifyxfhQpjkCA6vmBTOnMxMJ9LlQtLo
1y553xjZ4LEU4LbCvDWJMYyf57Z704l/ZEMMQE5UEODML6cvgvhojD4UNKPSPxWNcUnxnyxG9MUw
CCqMBJGEgwwMDnxdj2SgOZbKeYaCwDGOrX518JXrbTl1anHueHBDMlha5BxhtCvnDng2+M91VsTP
XkpBKRRkSqBGOjgxfevZzZgl25iSPpNMDoEM0NEUvSrVRJgQs3CnSzFbB6QFWh+4+z9z41Jjw6xp
clKyF/7+FRV5bz8nRBNFdcrAC8AiOGI8EFzhArNBvB6JhbXIA5E425xpM8hDaIR0t9UYHglZj2zQ
C1MeL+fgGLuqPcmBuJh22LqS5THSVh9DDMd2UCeDxiRKo/hLLbrvQcNuSQXm/+HqvJrbVsIt+4tQ
hdQIrwxgFkUqWi8oKxg5NFID+PV3QWdq7tS8sCTb51gmgUb3/vZe+9oTcXSb+K0ZG3ZxLZ5TZutE
meyw3Ijc/amgsWr3mXngrg5Nol6oGhBH9ZVvEVl1PHAsft1BmaR4dsz7W1YNR7y2/U529DlM/SYj
dspWychPugTBlNVcRhpZJNKzVrjv5+pfbjQjerCziTyOC1MbM8qJ7T80FnWcJ3mf8/BVMrylbpQn
jcoq7K75xYY1w1VP4SN7uH2nO/aqH/I+8GD8HMOpDdxC+QerV5esb79GZa2JbDucIqCvWL3p7GTS
PtrhuIo0l4QtZWOrRDPfkkzpO61OrU2vNCYS316DAVoqOw7azAJKO6TdoSm0YNLg0mFGedewlW/I
VNQgy6K7J23CWHUJpAI7RtF8ToK1tUyqdB3SSbht23KDKZyH27igaRt4MRR/yEVDKjt1iQu4KBrg
IEpswGs2AMjT4ZwnaYBX+d5i+ZWs7BRJIRrny7HTb779CLGvd8MPiuyJ/Jot513nu2xxuwHjwPlL
IF2m0Ws+4iHW7WUxG3lQFW5Gd83Yf2hhz0JkHCZnon0e7k4SvsZzd+mrfOcRJUb5/mRPgwm5zl7r
Up66IufT6fkIrfjNM/C0MAE4qw+sSBx/RVntYClt6wZACViplk12DWmDRcr1q3JDvPWQevUnmsEh
6kp0FLegZbWi+nHSfIPNh5ZtMXGHMAF5Q0JF3btgtpyDSesrFkXgmxj9KwasuOU46NV9we4UI2ae
vbRzsbUyTsKiLg+TXM4ODRKpmdSBUWhU1qn5OOJ6hgcA3ySbWzOQnDkYke7KhfAfj7W2je2ajW84
U6BLh7iF+pcLrdjrkwXKjB3pEOrM9ODirDLRoMb345Kw2Lql8ZT7RnRMTKfEdwO0UwdZz35yfiWk
9q9z7Df0kV0nzA/fpFfM9qkVsQZun8HQ1thqGPMkxXceDTvPQbhz1QQ3WlIv2cLDaek5qXr7hzWV
CSBNAWt8nuZV58SaT0RgyOly5JGvvapuZYnTh8vD9/GGF3Nvs3EUdxMvfB5TYleGw07G9j0pwx9t
UhXIpZJ8uBkFAFMA+ZvdkbwyG52IXY6ObpFbBSzdYsSR2GC+jzvUruXzkHbPJInpwzj2d2XIeMH4
P1taUh456kWnYaLIpBaLmt6F68nuTwOjqw0SdrYmR4cEkWhXZ7wQZEBEgucNaoBwZ0+xDyPEeStA
l0NFJ9OuWVyYnWoPlYY8qVoicc1S7ujfQdFsJNF2zXPrw5j8acoYYCS9E04HSHEsAPdI0uKzwZAs
09787M2Rz/2ETzaf7ZtrAOlH6Yf5Vx0KNb5hDS3XYTNVdGBqG9oXDolF/UYYNe+cKdO1MzCA7mTz
IhtrlcC4Ji7XXeZQ+7RaOE+NSrdzB+9bV2mzStuQRpzIbYJyrPa5S3agjfdo4pLzePciOY3VQrVH
t2Lg5g+UcpUZC54JFdqU5tof3nzb1+GHoRZG1aYm6bNKe/1QdD6HSj/c5bpDQ4aNE84L0wvjmGxd
xdxTuUtUo+7erCb+ZuxPBYGlCa4OyzkkudiIUSVn+gJ5V+IHDWJ3FTprhu+HPJ1fLAGL12SClYfW
/DBXraT1dYROr4zAa+2H1jXowyhC6vMUsymxlBpXTv1VThNdmKsscEOBJ9EhDDKR0KSpUegS8LK0
y3NPLRubWkb7BgUiORmWuaSqMNfndmcM/dkx/4w208TJmCmi4AMK8nK+duWiSPraV8deQRZYuakh
gwHTk26vh2XDRJxtlUMCXBVyeIdwmoc8eMlTcCpDFdBh/GY1Hgf2Mietya5gzwiuKBYiDuVYw3yd
SKetg6Xs71qG1CMozmR14ehdgLa06WBhXMRtzk6BrAX4rdweXtCyFC0dgjYU3XCpiym+tJi/Spbd
TbMxblQmWbKqyGEPZDYZ7iu3IvukCXmd69dTnUdkLy22dmuQb/mcivkbDA7ckqUkUXootYm9cKnE
eDBntavU/OxWGnLQ0B3o9aZFd+CqMCOypzOM5abhXNB1QC4r2JYhEPQCGiu3U3pCxmSPVPIAZopK
7p3cTm+ht471cI/qiYoNo9oP2ehtp8onDjrQBBfGiluWfpWMCBjR/jnfpQ4d0hpeLayb7QXZotq5
uvoEkBTtkng+WibX1OTacj1WC1ICMhUHK1Zr27o0Oc20ZKG+MTgVTxM1OBET2nVbAxvCPpsxSBHm
K6SNpayO5r1uHWXhuEXN9Q4MYO8U1/Jn8vzY+M6T6NwvHiIoCQMeFdeknFg1L4PniUNiakc85Vgg
gBWq+sfxXGTJ6s322BfTsQLL4bvVtA9rUtgOwrAKnPY0jW6/i/hn8Ebil7U7QfrFw0jJc06yNC+t
1iXCX0VkCtA4Qhf49PVcQ95lyNhHtD5VBInFYBcnAyjYaJIexTr4t5ScEszoMlIusFY9KJeksp+t
KeT+nQoChhhIPQiEyr47nEXIfa6yoXueU5BhhKCPrGo7LYn/RSq+53JxX5UcA73QJEHktT+NZlza
MJKB0qyXRHZHunDOdckHlJsS9wgG2jCev3NAIg1hS6gkPPoKg+oDvdhGTv3GjcR+gI7i5cA2mpJ9
QcSDL8awTlB/cXMGOajq9eAysmgomtkYjf3SjT27zJIViUd1N4SX0i9/5jalbKN3vifUiLBOFzHU
ukDhe6ytpg4sWiahhuHETBEdGwu5r6vEuR7HQG8iHygunhlD8qOX49vQSQaIVOiRFcZZXHCrrK2+
DfTB3WKw+M61+rUI633mp9GzM0ZH+vooCfW/XUmt6Rg+I+08YRWrglAZdwDZ7z38nu0SOEVtPE5c
t4LPK50sfZWWOmQ0ZT3o44frVtbaAYFNZI4CyWFLPQk/OU3YDIqNRl9bNNyjrjLUN6Yve+o4D6Pd
15792pniwQxn58gg4xByN0DBwCKfpfvRTaNzQjHCalq2qg0E0MLpWDCKxZmi/nkLRKDSjHYTqu6+
5H61MmQeMrx1Dfe3g6VSxfFz7PXcHLyuqeVe3AM0EyiPIxNs/jUoI8KiI0WNrC3UcbWqIanaRNRU
6QDskDq9+OrD+FnzqaZMJVRg2EC6ddHaG5l6TzWY+1iQaYvdpl+nRk65TIjxZIhdfaMi665PnXlW
PM9oi1xwsTTlUnH7Fu6gt31ADVfAiunLNLOBno8EaGYbFk9ytOg0RO5a00lNU1UWrunvfrUyAts+
tNp1XoHgkJqrVtmn2fhsimoWG23C5ZT3446jIswMWciDpNTNxjPL9en0NA6MxjZEu2JD0zyWZlsS
gdfDdeMUbyiu9s50I8RR4WZbyGZgSqrvHM143yIarxQHtJVZ18HcMWTRoNEmSOJpxaXXacPVdTR3
M7mIlwVxGY4NOpd/SbU0W7qNDZ90bfpsV1jcJGLIABeINX9wNfoItPTbmZkeiFpRlVgXJ7Sgxf7l
8UDmcEwZpQL5iLzdmae6YE5FDT0/CgHfIerlycaAybgxi5hVe/HWkCTz8Jgc+dC/pjY/kAFaqo44
CoEriaN0MYF0W5GHgENmxOJOYb3Iy0em0XJNLQHTp9b+p2wTgD39AeseOHLlH/pRNdsmRrVKIaVy
nO05067MY6EoSJsGxX8GP3EpkxK25q7qqmWA004BVTfHKKTfknnYZsph+hmIWYD9rywHG5g9LrBb
st8TZQbrFmuA22PEsCtQP+jAkb9rhPZmt92XQG1GJKCq0u619wUQUnjea6+FV68Me9yzelCQ4tti
oGdHZfo4BMcI0HrdMy/ycTtUbneOedwmWl3tOVeektJ+QEycVj47/DXv6ewA6Eqm/mtkmlyiYanp
2+hYRRqTgwONsQzcONo2Fm0BcrqYeURvmJ4XaznL92ruX8PUOnlN8i/1zTd3mtDizOrVAXB8kFVm
UPNU0rpgFDC9xZMKQc/Q38WpbSFbVfFBH4CdMo1kj+IeiPxcaIKg8N7Rj9x0dCUPKbcLJNcgSts3
JOib1ZjXEW18pavX0I7GTchivNYbHOhyZJ9QhD5tipO/81rFlLD6ckR6xBDAre665xRfKMLTtOu9
7mlg41nmPMXBkvtbhI8/f3WPKhZOfTsvKypIBAMpMD0l4h7eJkf+TQDjMooqB6iivotvtcfnbZs3
RnfOingY56ZyhO8QZ/RDxfO7mAqOSpX3NSytQbhB8a3535ISYmG0b00bGts8sd9rVpEtsCkqh2R4
laG5STlGR8YNhr23GTiIpwac+3zYsy+OkvwtbIv66FX/Gs7+61k+Q5rCdJ6WL/ogsYJ74gxC7tnw
tXcM1sd6gA/WCBbmskVgH0aH7Wcx3qaqvZiN7oANRaob8vFScMkM8nlYQJbMeEldZcTceDvX1Fys
MvuGyOUcwwi2yQRnHaBXswnNCWDqhAHV63+6CUZGl/p3M0U1s/LiYPQAPHFg7uaIO1xpxVNqNj8e
Yd0NE4JtQzlIXCI6tK0ugyLjcquQe3FK7/3WaXbRKCgXKCgo9Mx55c/zzQUQTMI/c7am+isys9jq
Gg5DDF4rP2N/Wk3pnyrrbkNYVZuWzyrQQsx5lZfDcfg92kQbqwonlh0bwkpjL6M4TAMTZFsMt1n+
Icpm37XlS1tkG04dFstxeJrI3Kz9hvfPS9h7NBWqzjKTWvUA+w51Mby6zASQioqRB6ViOeQ4MGJ2
X9HbfSBBmTxXur7TiwkDfXkLW0ZOhiH/OjVCYkVYeSVEsxYJ1uGyMqaVMucvM/4eGHXsM8acUWGv
475+Sp1hW4OdAi2zwwzDZtm4N6G7T9F62Wk4bPuoX8JSfB445okF3NRryXdWmjRcVKQacZwgDk75
49ze6pETkOPSO1s84qDG1QPewG6mFWeAHQH8nR/rFLd0zn5eqM0TG64yTN6Jo3NiRLfybcrzlEv5
SG4dSul+9Abns8aY/wr8l2Hz5fkoVbVB2UabTWfsMRQgxmxWjBQ9O9emF6imepAxOJSDf+7DjvLi
JS1ha8VDNronK6qe0pZ5vo/oQJkmJcfIJfTJJceCQvCVg+k5qJjaplaNGarZwfKWu2oAJtpmOHv4
++oyOtkwPzIbfU208hUqVgMzgceZvs5mHhDCBW4QDZRd19+JPVFIAZQmb8Uru8J4W7r6tI4ncRh7
WqXbmsLEDBNJlhk0+YbQ3wxWmk0yDDg52gZvt7CDKmxujj3qKxTpQCPAxZt8bcGZrgCnuNu2+kvT
kcHUh3UsT+OX3hm0I89g8KXEKg2ENJprVg3w7MukcZ8JlJE690iEec9m8tVmxt1QVcfSAq3MBlAW
Uwm6Y3r8Q+tuujBBoDnzWQ8821vOk4FTpn/vRUFpzOBa9xqWswPTAmWsfR/0/gVANTaIV11yCPM5
RAwkNbVAn3MgvBQ3bPua43Afns0QzcxietR49j73J/Y4lrbUzbir2MPlmuDpnIv+o7CwqcL04mrq
us9IYUfCFsbl+u0OSEJN59oP+KFXSZuenVgd2YjrPL86sY3z5DVL9b+Rn4EV14wflekM55UJV9mL
/nUayD/2xUwN8AR7BY/TdJrCwIU6NBnpj97jinE7Gxx4iUcxb/6h9ThDfpd6eoSR3XJE4TkOsTOo
PEwKs0/9q8H0c6X35Z/eLW+2MQTOkCbbXjI+yHJuR2GH24HCCQ8aocSu69T5ju5uVK/IZ1xjYsHr
OamblL2QvTN/QC5079CjaZVtaV1FOLWfkon1J6mizSD61z7N32XG9oG5wXNNZQ8eJLI1IwFq9BgU
W7YXMdzqnUj/WO6UB56TfbgjlpIERQ+N4VX3IG2wbukb02XZLCjCouW5WpfCaPh/ICtUTOLZbOXZ
ujbzfWMlX6J8/Klwb/apxMcssMIBEX8brByj+JYYzHgKO2NcgX1PN4Mv33ACY+sGT7Khoho/IUYC
E2Yfu3ZrU3OMWm6Rf3VSvxsZfvIZEn80oNLDQ9jB7HoaqTjYjBYNvPiIQGtpLZ9je9PHOpiKZQHT
snzjVf1P6MN/cjD0HFrP2ulJywqJlYzOy+kP1bknPXfPHj/MZUwKE2e2+6e3zHrX11Q8eWJnjN9e
ZYsTLqNPOds97IhK0nhlPUQgXbZqcGF1tezrh6a4m1PD7m/68gmKoqnzwQ2IkiP8cXhSHb2Irr4e
Y0oHVR3S00zx3HrsSR4guEPvC5eJx/RX6dSjzdgr8R37Ac/NaZ1SGrInKImtuR0ep+FW6bCsrNAN
V+T3voxOvur5Z+KMoI+coWfFm7AwKJDQBnOposJjl2IZqDDNJ/28SpYJHkJccjLcMN+R5Vwqs63d
JPhQU1GVywDd2fpWfYh881MzuuzY6t78WDql/jhY8a0yjFdP9+LzlCuKqcX8jO87ZwSm27g21bFo
4SwbPqm2WKW0qokWJRiHTpQy5imK9igbFNsxtK59rJ4yPd1Z5az9gaZ5q/J4N4u53lgwP7ZLTjYU
sXyYs+acmDy/B+H/8UInJipeY8vjUBM0Bju9RsYo41ZQSNEfSLEwxvVxFgsXjdQTPZOpQe4iiiCR
wAuHDgjLBRx5g4+Wk/CYIgbtEmgMHyyB9fZM/wv0zDq7gfAJGFifIOraNDm19F/pKfvX+U2TSGZk
c2B8T1i0QgddNhznH5ofN2OqPcVVdh66mP26h6rrJdZRFymmHte9lDOFQ3Q1+9tMiDtEc3/xnq+m
HjV/mKLmAP8Hok0yF2uEG4eH94BQZY/X0Z0+8t64wEK1OH3Mb63y5dljlL9WUXroEvOzcWE3N6G5
dzztVEkUVjBp1prw61+hE7B2MbatJVTqHlGYSqAtFz52wPIs5ypZs4DGJzv7Guj7Wkk3v8ILtlmD
UyhH5tRtGgRf8xHnZ7hFIDwA3qNu8zqyJT4aXtIdRT0Ma8bOV0Jqi+aaWJtUoHEK/oUpK6mij1hL
8YHD2EYHoQdlzvtLOXYXnN74XWwIU66/q6g2CipREgKH4J0NF3hr2bWfATcp99b11EkraKtHvWkC
o5uvEHX1EyVd/cpFkWdfSX1xPbr0jzNXr+WWrlg0Y8NhkRCF/5SGH+NEJKoAkN8c9CR6lp1/t3gk
rarOR19l7NH0817OEW6BibIqqzjVZncw8F9N6XT1YMmHYTvtSHPLA/URGWw98VYg/q8yp8Jzp+UZ
gadl7MCzrwDbV9SJ9WKYEpcK3Zr/sjqwnf4d2bKA7+d7JzWyVRtU8U/5VGfoKZF7E98J8DctXpWd
fGxGae4NLQlKFzdpoiS+FLZWm8LmxBej0dYkcZiXYUz2BRVX83zspyJ+rOIx47aIHSj3O5d39sdr
jLvX2KBS5xayqNbeewsikGeb1vH3W6g3aj0WWMVFWGknM9Ixe1cRH3UGV6AuQv3Rdp32UuvxTrW1
8dgvL//9uuU+1m4/nRrLI9BpD4Khc93TGp3uIxqKkIbH+ElIP6ahhF7EwjEBrruu2LODio0VnY3V
Q00pL9n+yQ/E8q076lGgDah/LECaya02sar62YV1G/7i8tK5iEWeHSF7Mwiit/ClVCHb3ihur2OS
jHgFrfqOB722FVmJ0YtOWujNr4SY/1ZmGT78fpdj3hvCIrqpji7rJVCZherKA9x+oOimePZUTaOY
0zu7399M7Kg8pOJilrbPprYRT50zkzSyGVjwTVTzaC5k9pCl9G1DJLhbVmjc9To/2ZGoHnQjzg9h
S4VjXFDrWOLPwKwqxsfmqWiYhqpkWsWdy856iss/yODPg5Lupq8pEO015pZMWylEZvk/8NxH3v7l
o2BXS4NZTAk8rno8wXb9Py+ZmphuylocUjrTf7P8+hK2+U3c/H77+1L09kV3Z0Zeeo82mJZrpxD+
0e+gYKx+Y8dSUsFcu+FXrabmZv5xHJHd+tBvbsLz/V2qCAybfyaaq+YOKRU///tY2xrrleyPKs6S
90Rn5+hBnEMyih8ndo5b/t1UjwuVn4TFvNCK609V2tnDb6NZazSf/fKdO80+WFcfnOusODW78WvB
XOE00AWFndxzbvi1l9/5fZFta9PU1r/hzv2mSbKCyI9IYxDDfJV5Qg0Ao7/HvFY0lLf6SxiRHhuW
EipyqVVgIwososUrVQZ4zIhfr0c4WPSo0YQ6+9cSQeGKemBf7atrVP6VmDWwvJIxVSN160Qu2DpR
gGeRme6/vdhCQhYIF64pn5Mprh4Mt6keWgDVJVjVU9EcaOLEnTnFceAyHL3/vrRZdSzHGo1az7v7
SAFGY3rJtgg7gMSpZv/J4VlJc/ogXq4FJRHt/345Y38H4fMuNP3WGLn5mEyIUf44l3AQsbvNPvcU
/qyOtjSbC4YgxlpDdHzxKvp6tEx0r3UWY17IsMtQE4p7PDqDo87e/fDokUE+QK7MX9O6hH9JcOau
zcmJeDnlvIXGQMUd60NOBYv0RXrX3NAN4n7pIsbyzHFfmDwTsNLgCSVfFbdvhij9f+i0jSLApPSC
R4DhDqdlWwD4s5iRiRx1zaTzg1hBwYbdtitl0Dzye6ex3xJPiCc5bbZPblrU16oeA/bPxgmGIGO+
3y9/X+CggjGZaBSmU8ffjeGbFnvmE6f8+MUcPQAhenitKqMMik4N29yDe6EgcB/s8hrH6tuWZnTy
SOpuXciOx7rqvnSdWU/WsjskM2iZ56l/LnynXzIqbOXdTgZmQ9DUViI9m3C/Ctd+bHmiPmajY+34
/7V7u1f9E85AwHQmVRk+2MDlJaOZ/r+vykp9VzqxA4eAGYxVmXySzcJXytp6L6zUOA7d2LI5t6LH
HAWR6fhfhX/mW/dLllJknScHW+LOMfRhB0sh3f+uw6brFUf4jMOq0XM7KMGGbGlueoiaQdxF20WP
OPh/RswrDyru/G3kxwGNlcXJbVmhdX9wOE+4NP74xU4Dm7hOxgHHa6WHlByxOKhlVZgVHyKj98DA
kSN0BHbSGc3NFU22HqBlHwHN4C9Nm1eT9o2HyWdDX9Ev+R7qcRLIWKodlZnJu5t4f0ReFYFoTY5v
9dSeoqJuT9byVSyTICQT8Bhx3GdWXf9x3bjbYben5NDFe9hO8Kcyjzli3ykdv6JV3H9fLNd+03DH
nn6/I0fE7RzFm5Sl778/QIqBFintqw0tJqk8tR+0eqeWuLMd5u3VSTSPhiP7p5blUSuqr4K6aMbW
CZWYdGdAzxnujRaBQOc/OWnAWzZek47sDhCGVK1bnzoV43iZKE2KMNCXSYaJXdrjow1f9GGYmMzo
fvUhqNXb+Pk4bGVq/6OWMKclnoEi+FbcHWGXs9N1G8KLBv7Gpg4XmH7sUWStQRTsrAcAc/qlXF7M
DK2KGh6+tFUZB0T0oM8v3/pFXwbMNR1MGVF7HWZ6bzwOacdBLKErt74TSkvx4Eh4pxan27LxcOws
vCcY0vGTiRF65Vk+47cFZzFMZnL6/SND7+bnxMGlwuVQOW9op2+VZ7aflVc9V8YpZQhwcaw+frJs
qIGWq1Fj54YO3OKKUb5A1fld5fBM4KdoAr/Gx1zHd7Mr8z3pdWefNP4C+rHoEmofVZxPJ4Ry1SGb
qPb835dqHILMGC0ykTH+sz4zXgt3MvZz3I60PrInN0JD25YFnuI6F8ZrrnmstKybmcUWq9Sznd+6
dwYTKSkwZodlgVza+rQ+5Tmj40SkW/Z7ztOETPOA++/ih029Y72215GZ9Y80mR2VzhNh6NQ+H0S1
zSr6cC39j57SN/vYcWM8ODxzNl7dfNKOpu20uR3X0vP6c6zIzAmhzwyI+oPrj6+WLymHzkFzGGb+
giFEU9pjqk20jpW0w7FI4fbjwLm1SgAfPrffY98br1or0HfJGnPR9Vhk2lgeC0b6dAVRF6jMn6Uj
hs4OSz/hhqfrlHFHa9jFw6CNxSqd2ZlkKVDHEb+doznGropoCP19MbXyNMTJuEtZYhjuhG0wDem7
kTc85fDCod6i+7N/NE5ljbCuM6vUYnubE31aszT9NCRrdnQkXlOR8QAR4jpbNGh5pnaqB91btXlO
ubmOO92EZXUDP72zdEVHrBrh8yvC6m15yVybj451zsKdq3ojfWmybq+wxf/JI6HWmu7iw2PM6454
EVXShVvgIfWFjIB+qEaasb25bh8k/VeMdabsOVaLlJYb4oHQOgF7bXwrkUY+S9v874vlV7QKEZSi
dHEm2GcEMx7APe4u/zmng7AnfoZZHa9kN6scrBbJPHegc6gtTPPFd/g30MT6hEk+mDgU1PV7nZTG
qeU0DeK8XiLg+mEgLhrjQpoJdXrq0qTuWx8hDXAKGC/sb8fdnDT9KpWZfyiM5SbucvE0GqN4skm7
i5YCn9Z9tYmNcYJ0nywnKRBsmEUUhqwfien9gTl+LJIheu4cs7vWHTk4rsKn3xfSKjeVafYJ0p+H
vzDCkP3/bR5/d5C/v4Zl0sVw8CMHo76R5iSNmGTFVzZ4eydLsqBrFHX0I+dWAMev8eIs9g3eZR4i
4TnpDNcKYhNckbMcAAaWi4dM7z5No+JjXWA3vy/hxJx98ke64yx1HakdDVKbQ5A/SfFICUGx9Svz
ZBhufGomd9hHDj11Jboe86Wi20/LkmVoZX9h/RMEGI6x3p0VHbUGoGUIcFFsXHw8OiHEsY90bvdx
w8cCxRTsQd6W0wYWd/ghDePg5Jn/Aph8PpR98lmK6mKmPIX1YTCuJlWOVhwjYKTd9EAG1t9N48z4
q6QEJ3f6aQ1WlCegK6PD786yXoiqKbgcbjbFX9yjATr44x/BA3UPnmrDVWSwEyywHR06HanVpMCM
gxAhH0oK2YItGL2M628wYhvGN87ZtqLbu2tkdRFSBrotp+Pvd0bWH309p2BUPiHRuI8pnb83zdWe
RszbZuK7zABmBokiNR6bIo62ftbTcrF8+/tr/sAjg0ZJQsnTQmrMa2mc+rTjS44rf2tzKnc2A63z
70vlONVR8RPEsSfPbXfVYsnmDjfGaeo7A9eTAG7ue+OJntNoK6ERbLywtw54hrj263CEcttP5Rtv
D/PwavpI0lhwl+blIRwUw1CHYbJylnSYUwlMsB3oX0edAanwTrYmSHxvQFvJsQqBjIwuiZ6BnvW6
OL64sCuLViV/yoZ0hW6UmDX1YtcZyts3ptM+1TrV4sRczQ1Mc/bLlVeck5p2EjJ3zCS9czc74AaQ
B+MgaUfCNCU98nN7CklOvlqSaHc+TB+tRbgrqp3pEIvRvjm1/5IQW4VZM/uEmXvn4a3wfUwThmDw
OAtHXdCMH6YuIa4OvSLfZ6H7gyOxDHoqD04E2t4xImHZyIc0wMTGcXVIEL/aWV9NdigPbU9UvPFy
kqyGZTpBIR78Ppp/7Fww/R6j5IF3pWM8LvU9EdjH0rWjiyHDMphDA34KvgzqR3P3JEmYINWAqcfz
NH1YHdN6f7L6a8ZE6uoO6d1Wff+3qsMHY8rqD2EMPMg9z76Pdg6sKp+mcxkiTYSeMHfRhIEl7mp9
B+QD747y++vvV3Ddhmvsz8/E0NSxksidrpPCBFjWvXY2FZUE7xRo2w8SCXAvnOFflPLdrxbw++uD
0sUujh0yz1MpmclhZ9Ir5tJcQzCicPlABP/f39LU4G91YFsk213zaGPE+2VqacsK8/uVlVjDDhLD
a1tH0+l/X+ah/n+/bTPBIZIGy81/fyTBHVX7sqWkEJni90f7/UmBrGjrOMZs8/sbfcJm0DCm9KRk
eJLVPHwYFutURsCKYU+W7CJnjk9h003n3mkY8ZPmwQE13eY8HG/FLDeV7ONr2A11sp7/VrKTN9ow
pttoCd5KrVj//kFBjTJXsAkBzDWzowe+FETHo2RQf66Wl4Tib4KL//f7Ageg7+RXjTD8X8OjosmT
TXvrfNTNcWhrnLk4sOZ43gJy/dYN+zlOiN8OPEaDxFQHD84OPhnC+jbeFCA27jq1icZbacDlzCrt
i2wlzSQJEA8OmmM9peNNRNGtpyniudXGj4QRRdeEuARlEPFAu7jCf2fcru3icdtRmnTxnTTagcPz
1ra56RlXr2s70/ZFPhrPkzmQe2OALGEyE7fInUDV1ZnzzbIVSzmWZeV8MBTvvGdXH6ocIQ5y7thH
XYeh3GloBYq6zyrM1Z3OTbEm23LQzdzbrgsNQzXOHcjUTABOesVu0V96pvRkprUGIuXZp1lmwEwO
M5bvMFLtCdy+hi5WE8hTYqMSNq5K0ffbRI91S1S8NmJtY6L7xbKfTzXBukJPgl5iqtRHKAx01LRb
u/au0pnhpC21nu785gnGgcJiPpgC9cfNb+kMtO28G1eii17rIqd+nVQ1/fJ4KN0u21jRSP8unn+O
FE7Q2SNQF8u1NsD31h16HDVo3DE5XpwmYHeDFZ2e3FZjoJ3mxzxOKiQwwlxxCRbIoL2elkWyMkW7
rU25L6Ps0+3bx4KUNCiWa2TJt4SE8E1vKW33h4snpLseHDQrHmHkIbTqIBEfAAngVerDVTOR2MeW
TtsmzsaXfhmh2C02IJN91AauS31OZ3H8H8bOK7l1LN3SU8nId9TdG8CGibhVEZck6CnvXxCSjgTv
PWbVY+iJ3Q8ns7vrZHVU90MpSymTFEls/Gatb7E9nVcBAsGlWV+LahoeaBxvApisy/SMiboY7s2C
PUotI8w8pN22+5HqIxjPKkbFhAXVOUUzdyylMUqrYfnMNZkVQ5calyR6rovsqZod5hICdVpF+kcT
iXNuBcFdVbHYzdneME46MYe+7nz8AoV0hqOTcTvHJQMXeDI9ju7l3UkeVdj2G99qsz1djPCqQn5V
amcppGRjQ5pdkeWHucpZaUNK9GxR3jQZkmgtaC9+U38WTfSuYW9cExWS71WoTBrwgMgs8E/rprY+
xjjCrNDXtddPQ43/LNY3SbRFAVzR2GSfweyeujJC0Y8uEjWkj60hRBaQJbwbZwBdjvNt9dMXN3hG
Brr6Kt+rzHkZmZLhhWL2Xk/WJRVDtEl8ZFSYX7kbmTNmrSqmJbZ4lOI1CKBn4BS46ViYoJ3P3oBG
Tyg8B2+UZMmDPRnXCIr8A4IVT6u6H1UnyluWp/zCaTqh/FhTJjmYASr2RNXcHJd3UK7FR62qbbLb
UG/mvTrVXP6obQMFbmGYsp7QphDvdse6RFYwmBM5oRlHFLI4lR+dQb8dE5Hvpqh67XMw8YYEOmK2
frdBo1uQNL7Ndce5grrL7rGz8HTpLmgj8em2jDRYDdNfDSk85qTfY73PtnOQeF0tIYEV0tOyMCbq
WtvitoCn0KnmPakA2SJjR/MyP9d6sWuyxfv41Ocq3aMzdBEZlabndvm9GlRzyOLgKukriCo90SmN
yYrcTlgFMk/dlKnJudjfS903iEW2NoU/vphtd3L7bDfUxaFvMm7/bSbRgPT1aowxpvpoCGIX9Zdw
hgkegabdBgezDTPSsch8rvpxBrMZfvvYpY5IpvJN12AYdobc60NhHBKBvIOmzWNAZ2yDoYUn0WLr
TY2HkEQ59qPWVi9qFDShTjrs2GN+FTT5kdqWpnvpe21njRmbunaIGAz5N1VJ3g6uH4XsjY0J3erV
5DxoPlXxPaQNHOtug/PPfZqGLiNDDa+XM1hry+3eXEF71rgn0zLbfdBgAC7YgXNlcxOPtBadqLUu
02A+Ais7pAPSAinhTow25cdYk9GRFiEKpQmFt3LViTSPd0QzCepd87Y0ynUwBCT2mS0uBJ2dHa4S
nwxv5zqttchLM4IPWmwBHfKraSShhQMt3qe6keI840BE5YUAEN9yjGyAY4wTg+rSioCdZ7whbHoS
LpIJ/8AUtKe2VZcJ/PdF7/ptPEkv0Lun3jWYB2r8tWYJJqIqrvxkMDfSVuNWzwliN7IIx+My0u8L
dkNpY+D0HtjkWmlLh8zibs1xgceDegJtJV65DoWSFSTHsC+rM8u7FyB5pyn3ta3Wlu8Ou5gq56xb
7ombhBG3htuUPXYdIPEbaJ5fsyS+TUJ8aN3sEIk0f7SmxQKndIqNXXZEcaK8zogMYWu+m4bm3nCi
o6kF2aZXZrWdiHXKsPAkE5NnGCHuya27hySzX4ppSTjuH8qmCpG6KJREqc2aqC1vnXmGSqexjeqz
8jv1Uy+ONd9LiJjioNtUpPXwF2K0YCS0z3KIAyyLqemmZTlCm1NE9nU72ARz9pXYOsmio4gtoA66
lDcKeezKxKgyRwNL03jc2krHxWDGO7eQ+GA5lmnuNe5KOD2DgGYgrzy98tOTjH5MBkocDUdHn2vO
nbR1NvDYPopZ8Jl1k3HybqJBGicX/j0SEUz9+DK3k5oQwlEw5y49To2oNWtZqZoo6pHn14ZXWsFz
GqKhDZzHaMmpGZmdcZn4ZLgHvCiUY83ItpS4jLeaOCkQJDiDzcT4ihRzp6syHP1LfKLUtdYiDBF/
A2zj9nfXVDUdLSE2GP494GGIwKB8k8jDSeWiN4+cqkIQHHZeJKtDUgwB16JkMJ6C8NGG50JV9XOj
5w8Q2u7DTmOd3YOGzzUDz2hwHWZy5k42nbocBbOK2aE7ZBblRPdcqEcVPka3OYCMwzWkdmh1l2Xp
B2E2lBwQdgB3kCdeDMVHKebytpIY9Nq4h/kRRKwAcgaZaZ55/dIfG34LX8FyvFaij1f6+OFG8i5p
26teNfIQGONbDSW/S1xjb4fyzbrXwaLd2KOL6sGCZURPyp1H3s7IzTd2pW41wt/GbFasZUFURGe9
nJMjiTx7pAuR95PEmfpqcdRjrww7cQObZV++t1atXXMzxn2pYAGE84qNHm1BWVs7VOco326Agesb
ZMucFP5TSZzlVNnmkYSBap3J5pNL6UefvCROW3upBho/GAAokJZwlSLixCq3jv2+42JocADrDHuz
gvwzlXiza6cbibZ5Yzqd4CocFa41AoUG91vPteeswftfm820Hk1/wT6xDuoVI1q8ju6m0zvsNE1z
jroIOqjV9Zjl+u+e0+CUomUqjR6AgGD7PgTo2TUST6bOOBatvptzcT8ojinL950FBmR7EaZ4/PzU
a4ZT472RayNBVoYy29hpCPNca0SRDGEMRVq+LZLcPJVm/C41bp9ge2aSAGdTvLQ6mIvYvPbj8AlH
dLxVC5xHmA3ovoTYWgshmcVSyMSspimMXtPWzFxAxIVzZIgpMQYOazMN6m00WRFKqPA4udxXW4wR
a5rfz3J2kF7UbJgjR39HLihXfd5diym0MWBBybXIjkgHz4nZRWoCbfDY3w0pV6aVTXJFdeTALojc
R/JRuFOVFMeIAsP3PlVImeP+afDTfZ4V4yEt+jenadc1HPiAlc6a9qrigaA590nlQvqTrRjFklWQ
+q9l9+oIXLwl9gz21T4TkV4/5Q18opoAQ6Uh7gSbNnMOF8Yu62f/0EfzPfoXRHeR+xI72jcIxGIb
k5hqduQl+DGCjzJ2XicroeXK7iw/XFS0EeavJD3URnrdE5/OcPcx5PTEjOj7WwIvy0I7VxboibR8
JWZh36t57/Yu/A7VyXVWUnmI8a4v53bbZMUxjbIJ02O0I4VAbrEAkAQKb2iVoAeyQ+s9QmW4Sf2Q
wUf/2M2ArcsARmRH3UTVGqrzjIg1IPCLV478PmRpZAZi4Byw+w8wUMqQ7IXHGVl+PiFMnLSjkx80
Yvp2pl3o+ESK58mWtxWekR5tJSTb5AX2nqTzYJHpTnO90ivFSykLPHJ455jSzxv9bYbcx70QUbKT
8BqFzqXp8+tKs7CyWOUjNczW11o2b7bDZcsr5+XjI+SsYeH1vaMT0O/MqP8INBy8wkZGGRkc4JyQ
h7S3yIQ2oVCKpSbWVWnc2rnz6jQZysTmOspaxvdZ6+8KzWaHkYo3a/whmCvH0nqOJfZXw3U+6qLc
AGz/ybZ6GKpu0coGD44c2gNuQ5YHA5aw2VouhcZrelpUMMAHR0z3ABRWYNJvfO6163hRHQ6tQUpT
cK9wECPnAiQoE0TUdCpli0Rx8jNCVo1BbQuK5tSGemIG6Fzrvt51KRfgPOF3QHqKpzDGSdJiXOoD
oosA/H7L2TlOXXrflTpWlkZddagLJFNFLNABmDjiIQDvWGfrxPO17dg2rWJuciAw6A41RY3vovTV
iw7rfGFue0kT0yVF5QWq9PCS32sODjvsZWzfUfTVzGap3AR8AomESTeglhQREixmh1bcE9qbIfnH
8Ju5UEc0HyvrMJ6wrmx49V8jF/7M2MXvWlft/AC6oI0hjcXCI0tBj1zPNQouFNTl/EGHS3qmP/Pz
dXq0GPR2gI5Lf+2g09dw36rofWjxnSTRMWzqt7aiX7G1BlFqmnxC+IGGCnGurMIrtz1zce/srnjV
O5xbbFFvIid9d1NJr9iilu3m7VwjcmdX8UHO2DFIunNjdu1qbPoLFAxqZL26nzVirbUC7bjsnwPc
KKsp9r+jedyTVS2pn3iz4DMml2Jl2+Xz4JoXX6dgD6XJQTmeu94MtubQLGfzpx1GXl+eZ+1e1IyK
dD2nqEdUPiZ35eCeU+IF5x5Yp+qKh0bZT1mD2GceKV2XR12l7aMFECFjnBR9Mh63kCbpUJ+04qkc
aWsq81HrWjyHBeMSXQw76fakjc79DnQIK6OgLRDAEFrJ/sPR87twInCZ+8ORzAmvMg8udVLAq7sh
PFvbT+38JLOapGnuk3j3jOx2Yl/Hle+VVZ+tpuUAgQxD1Fdgroxa5LD70DCUOOth2sFgEynWulw9
aiHOT0ZoK7eF+FpxYp87sJZGDtfQFlRpU8VkMls8YSnWzouptS3x2FjG26Bk8GyXN6OLFrWquvcy
1J6ZClRbvxgFO1fjh2U/oNgHONDxKmG8kN5yWuSwxwidCOp1h3dusVHlqHRDs9kzTr1GT/RjEd0E
ECW2uUFirqYhcSQ20qPe0BFPYGSsR+tp7roH9B0A0+z8wZbZOQ3966DifmSLDyP8Bmkbb7qa4XmY
hVcJa2AgJC9sr4d1Fl8NeneGY/FoCG01D6O11m0uJwxHy3zG/dRqTJxxjd+txl0M8VxnQelAn2Mn
Z0uLt72Mbg08QMwWhp0ziQ/Tah9G3A4zvUnMzFgzi7swgJ2ShCGq3RzChqizD0dr3P2QK3DSSn5o
EauZhL3yRhESvHIH8wdjmHLlG7iI/LhedRmNo82ehreSy9NQDNxvqEBz7S7MuQmi0Sk8g3ZgJeVM
CESEGbFfZ60WoRH2X3SBQyGoMcyUxJT5yK2vqRuPad5f+srcaxl5Sal7cGxm5+XwmtXiWkcmuUEu
eQXO4sbopg2TpQfTxRkHrJjnBN51qXqsjrCOgYvCAdQdEOg96BDyVFlSWjlSrdbQtz90WIyeY0CF
qVKUy92kqh1lpj4jP7FlTfI2SDE76PZTSvVODTnhZSa1VU5vC2LGsJhNWyNKRorHhznIf2BUYTga
95jPUkmBw36/BdBlwvqiGEu/1KzeZdo+0NTBYhjiJbzu7NcNBmMNJ49F84dXt4YQwrteY0y7yjIu
MwFuaWp8dZXSFBXsLwCsldLg2bc1Zmb2Dneei7fjJhXa95zfJRAsd4OJuNgZIuapLV1eqcW3MRKC
yWkZElhkJqvJ3DS5cWOX+SfLgnKj+pCk9uw7INKCQyjy2jkMVq4TGIcGzkrc2M91l7yV6PcmFpqb
zNYvcmLZTAh7OlwiLLvDAEgIvpLr1QXoGweZkhjRA0fYsUHMQYScSujrZvjQuMpci5wLsehtqhnr
TtdV6NUdlIbQiZ4iP09ObaHKrRvBBxWDzTSxuo5cv18ZQTZ5ycwbMiUIavBxdEwASPJK+2QDWvLr
91qo9rnbhpdKZbwkPvfjyB820PTY2Ezp2hx8b5y55igYDrMbsE/SHHaGSfcssiI4o6YCYUX1AmlQ
LrwfNermqmJVXtvajYXy4IjMekFTNpziXeSuDfcpYiLlgTPJSfCF11O5r2GN7JbGgVH2qL5Q8c8r
m7vrhqt9i8JoLWZRbrWybNbWzLBzdjGW92yTAE5IvrV2302BOiIqbkjtqDCLo5gGbgvREvuexxkP
LwfRaepnERw07vX4sPa67PcVLqR1YvuYrMV5dvS7HGjCKrDcXYimgodtD2iKjH4JslkRnwiCIaJo
RuzD0Wc55kU1w3NmUMh3GZp3zCCYshNmAVPEaKty3B+InsDCVPWJbjQ/ZsX0wOCvZCaqn0Hvvpb5
xHq7PpRy6m8KsPODvFRcO2njqHU7C9h2y+XadO54FJ3hKdlxv+nCp0AcfbN9HEbe/XVaLe/eq1DP
nlQIJq1t7Bo5soBdmUTOBY9Pv5I4kzyKr6eiJRe0hVCprPklMHUmC5a/7Tt1Z8sAbR+5SX0GCtQR
/XHWxElz6qtc69XKFeyP44mWSzCljgYsGRMl9oS1mWi38CazxIff01NzXB25BNCCmt1FdsWdLvTi
nPXBnt48WzECuJZV/K6Mis2Y1i5YnFvsCeXyaFsGnccEqYLXusEStWpvChZyV/CPQ8zN2kedU9u4
jocYyeWGG63GWgLGgmWqpsfBdlqw9dCRaCpiaDCbRqfI69KAg9qKzY3q1MXCXQBcs2CObD3Uj1qc
L34eZwRenZ1FhxJI63reasHo1a5iuzsSlhHYgE+yJN3Habtd/lc3yVVcOfolwaS/mZME7TEyFczt
+i3iMAeh+/hGwI5i/7gFAebloTlSSnJt64pF5cjQkpEJ52miUm9oa0YuGuSuqqE58ZMtvdsOPe2N
mrXvPC68Qgfpyc2GuHRCZ1kihKfMeW1zLTrUDcgvUD4rXQugg9oo7I3QvaCGD1ks80ozEt3qJByv
hZVj+cwEz5wj8tvZ7MM1iQszFSx+7jJkGGEHFU13h54dQ4Wx7Unm8+f2asInpXJRghZrngtSSTw/
WqRF2rFt7ZM+jl5Q80cKgQUhltp8rBoDfam+c+w2uHUc2sUqosSKude/m8q4HoOOJre/BUddH0LD
OWlL1QsYnfxWLOYrrR1u3DFKvbkx93iRuquIt1ZcMVnvW0jegQgP0pTf04y8Ripy4zXRclctz4Fo
GRJZ0IRdJg16u06K4IfVWD4MPJApJtf7pmjrD+QgDOdiFljzyTQddeywUjtBfiNd43kBShMNaEru
OoZpj+v2KiSccK34sJtbue+b5KlxAvFCBRjgwfBvakvvCH2dh3PuUpmndfLEUldcEmd0ju4CEDKH
e0OV79mA/XOsf0CqUUgDmmsYwmw7BNjLKAiDs9m96KnUzmZYXQBGW7u4CdkqlCWHN7HOIuEIdidc
GPaMZSyJkM7EcNenl6JneROSs03CLAA5WbJlz43ikt+Jtk0OORkYLTsdOluwQ6hm59046YUniHjk
XFmHAZFtzQiUAYrnqUjrLyPvc2wlQ7iwlHBMQvTzHOE+kFO+bqqMe5Cp1Xvh4JxAVeK5A5Ud2ar3
ZWTuItN2t9UY7VzGjuVUqOsUUsc91xbg2Oal1lAypwxMpaejlHSLr5FjXxeMLpSUbAIJv8Bz2SGM
zEfOV581chUoNqGgBkDufiRd9VT27sXoP+xSXDWYnYOpyl4s0G20Y2TFbMyiZ89dzeSSM1kwoy1I
pWmtt/3IOKQ/6jCET4l6ClsrPqqgsNYV2JV1i79sjJmIgHdNcYgC8phgRE1YY1pGTU4pvaipvXHi
GBFTYG9kGN6qOL4HQ27taguh54ghIm0ZaNoB3uqqrp+toQk3PJ3UnUl50oiZXv7ZxKF5PwRwERZn
jSlij3jMb6I4DhZNnafP54bt0K7Q7euidq+GgIGw7CfjFPXmfABownwYtA3UhQBUWVs/jK1J/dkm
8W64dmcjP/RF8TqkwpNy0K+wMOsb8RN1qajtevAsGJU2HFegYPE07coGZ0mQVTeJ2xVPUCrfgo00
AGfSBiGAZcgclDN3hu4xtF1shryj6LM/rADuVLs01yFHZSjJYbP08CIBnK9be1jrR5IUaS4mEGEW
Jo6WHT8qvOg6UhQOqpbBmpv3V2LZb+QE3ySyyLcTywg4qtWDZPKGyCFdwz04BIIdGzUAbY+hg3dx
PY2KnbnMeGRBYtUPtr9ABSZsChAAoMs0SPKnjWonE9c6YAtNT7ajWT9Y6ZdTDeY1c7UOmWU0p9wH
EQBeBuHcIJw9KyOqtk3+oxSu2jbdIqXhKMko8zDycZqpomCbkpbMgf2beGjfxkA+5sT3bDpa3zSx
zxp+tACgadWwLx0DRtXUQyAi2VFwNm5U84ZkBYc4avzNMPQ/CCEPPT1LnxDajmB/uLz0PnmcLS4J
h/FaistzLNN9VQw9XlYq5mBK922XXseWI7y6XKRWyEpAPHcJB4rR8AxF6FaojsutyOPDAF4qU42P
O8Z6KIduw37/jUbkM+goYefGardCn3Z1U4G+GeFNGOwt7FZdjU0ETmJ8Nhd9Y1O5nyQKfZmL2MI2
odfWzEBELXpGO7ApqH++i7m+7wkkqm3GK2UKfxoeTgQh8BudPlbBjgR1yd3RFtq2YONomeYNYZuF
qKKdMinRnfItQ1u1huRUctFMWfmOTv4Tyeq2nkCRCv5YUUuHOJ8BjSTR4aMpX7Ne+yEr8xi5qr30
4y4vgzvbHvd897VG17HJ/RgGmh6NHjrdSwn/nXeN0uBGsLgIpPYAcsZdz9q4dWpMKkNPCmgptlh0
zmhQMDqz4ELjnjEKg8jco0Qw2vw7G5axT4tUwDG+/d740YvHGt5cz/Jja9WgvcPGNTf5gNm71uQP
N0FAKxy0+ZUxj5t0FsMhRgzgfsXZHb6Et8RIG8Y7p2JgSeukU7yvMAoyRQIFNtIcmNR4o7AugG97
xK5VPR8hWQjWPORw5MmLn1qMmjiyVwByvkcNCa+RDckaSfuDHYkXk9ULggfz2kpjbt5syeMQlCm2
lJD8iGncgYRZFcEa/cx1aCTrqvwu7D1c7Ggr6+STpF9WylWHlGK2a89tVcUCkAbbgaLPcDxcT40B
FD2hB+4AhWgWEeyUnI8iEaceDfPMYH4XuljSdKAsAfJuRHXRD5ZeJ+yhWOQ1oa1J/fmsSDYEoInP
LGj5N5SaYF/uJZyOcoQ+VHfLSNe0t3E2UJ+Gz7Xl3BEPsZ0nJzzobXmdozDp+b617bMlDQAWWEXF
FRiHb9z3R96EM/IQenRogAOHQQwYzXGfgAg3Zz/kBJe19Le+a97IiiJDr/uT7hLC4ETV9YxVZBst
uTsu1npLKzeiDzl+SaQxUvtdqFtUrcfMHp+nCDlfgfViFbFaYW9e1SCy0X7sQrvaBEEMdNCCSoGc
GhhlAulvWYR1BEstR8BZd+ITluM2j785TnvWwZ5qeQ/E3WDsQhOraR4B12pSGnsD93MXzhs1QK72
aYSg8S86uP6jAVyb45DhNu6/JTkeCxuNsE6I3rEPNrT/rte2PESrxwrjG9+pCMgCqKYnreNJrJCO
Axh6dOWIv7Woc3ZABb/QmfbtkNzYKWVjj+JkHCYkiQFLWxTdmwBbynka073d7UvpJuwGjFVTJuCV
kk54dHoBcgj5ioYUC2HUtpskJWsvJIrnVPjmjYVSKBpwBbWG8cMvmXDh570Y0tf2w4z/zLAzsbGn
fLhljNXWxclBQ2jF+o+EPW4XBHumNuPKZgJ5mAzIhex3jm4g1dqwQ0VfUPA3yXs/Tq+6EsVsyWPP
5YSYqDPeDLO6nbpB93I8pTczgbEwMw5hbszHdFbCMyeoc7ivWykeSj/oKNfDYTuN1XsVNNk+Ql5o
kVq3o6z+MHxyCsSi1W/ya1a21XGOincXkDHu9HznhO4XtvmXGdxpHBufkzCmvT3BUpK8D4Y+cVgB
zBtpTbe13oMOY0RQVCo5NSo7+FeNSJ1bfZhPQ62Ci8La5WF0TTd1mXanslR38KGbO3OB/Ex2ze1w
7hmTD9bSMiMuoOg8F8qF9SNNc+vIXPeEFPmpLkjp1DAO5jknCd6DbFcoU+1GypQy09ZzgIZlBge3
LcPFK0/xtBsrHN+uM8yboenVptQ1l366OSmdqL8eF7On8XZfGdpSMZnHBWlHroN+AuQLbAKz47qN
0OS3otwB1XdXCI/zq6HBB9gced7ctabpfJ1Z2JqiDom90e/Je7vn1GcDz45DmbU45KiXV44loeeB
80p89lRFHh0rgxZMIPhamTBAu1B/q3mQXi8Y4moykiepobPS50QRC6dt/ajsNzN1I6/JVZg0/smK
kqe4GY9xljBwykDCAnYgWiN6SB0Wh2OcfUAy2459vyO/6y5Csu6E2p7ctmLVqbG4diroSm64Hiwu
bRhTOKndYdoCWQMLPDLDzk34Ltb43aTmJa7hbPfIBms/j3a+n94OBQg7wXWwkZHzJYPyPJihAZM6
PSijeC/Ag68dJtW481h+26gf9FZ+2r4+gMxKGIe020iWNtLwXvfGzgbfWAbfTpLfpzNbsnpZqhuU
Omp0n9ww+vAVUTiGRF3njlwVuYjJ9+kilC6cN8Q3ACyLeTUhrrMT52hMNImBkl5FQ1+DkXBPYAGw
qT5WHBTi0hgcbRTbIF1qwVDaItQJB+Z5CKb7wYxwCYXvboBmd04ymJqhFxKYtLMp4MnXtDY+qtvW
kojxJ8c6Dgmu8UaOF1FUJ0iJqHPQp3asjH+GgP3HL7GLzT/+k88/i3Kqebe3f/n0H1fvfftV/efy
M//7e379iX9s7v/r4bfvov7tcr99+Ot3/vKD/PI//+Ob9/b9l08WlHg73XZf9XT31XRp+/M/EnwV
y3f+/37xt6+fv+VhKr/+/vtn0eXt8tuCqMh///NLhx9//12XhJn9xz///j+/ePWe8XNeU77/z//x
/i8/8fXetH//3fyboUuY946uu4wnSYH+/bfha/mKJp2/SZvgF0ETb9LnSoJLSb9sQ35K/xsxsrZj
m7ZSjnKXmOCm6JYv6fbfLIE7wqFCkcJQ0vr9fz20mz9SYf94SXgq/vz8t7zLbohibRt++tecSGXZ
hmlwEillmbgHbOsvuW1VYfqDbrhf0jV3CPesI47rnanl6jTEpoW/JH2N4wSne2g84N8fPDXV52nm
Nli5F1rm4Y8PWVhARJzHc+wY1cpujPhQgdu6JQ6RFRCMG1rYHkys51i5vYk6DuN/es7/b3/Irymv
yx9iOa5uWMqVlrABnP0aQEeKX1PJYn7P7craqrYWO5APd2GrMb2Hg+vGTnVw3AnFN1tUbnhXoqXe
wxS9npZpy4iVvEIJsM0VqhW/ZziKlS/eVpZ+rUXaiUW99sfl8svV8s/Pvb0k5P6f4F4esmXz5AvG
ANykbVsYvz7kwenqAJNiDom8R4ZvZmYGySTLgev1PsJ4Ap/rVj+QFmrckXkZHPJZJpeC2wXizFJH
b9BU5Q7C60gmbeofAzs4xhBZ7hs7BldkTi8Ztword/STOzgBvhU+lGW4IeCNdE3HxwoV5v0VZE2M
gpIpYWKHsRdXOrKleSaOzU7uQ4H8CjQXS4nFvmliy6O9B99EIBsjGT78/H9WSxmQNxQprml/gxOc
L1q2ZJyRTraDiUwsASz3mayTG5+URLQTgLgCNXM7gfb+kncMSTUtvK5srX6GCk0fUBb3baOdfIhl
V70Vt1tfpICYZWNeAWcc9+O4xHeWdXzDtmEtQ/0JPIZ2ksKJ73q8SjeFot81AFz9+7ea+y/XjGM7
iBx10+AfyAv/cs2Etgo1yI3s1TEnRUV1aMs5uJ9QAl2icrqu6Bj0EIbNjuUrcZc1K99STOUq8N0/
vVcBNAluaXT00YxxFN/GQ7sIc1ohxsPPTztEJQB6yn2Eyemu6tLkoIXsHcuq4NNIEsph687OdGqc
J6YcPKIBzGsa6D9oCk0931ugcS51pPaZhfawXQxT2SjLg+EueVVurs6WxcYhDoPravGgTPbYA0UA
CM+0cUl96qKTMknfgonqnkf0C3D3IHumwn5yNL3b/+EeATqLbWFJmSVLakSB1zMq/fm5qowzBn8E
b4urqraiaj/3zvOYubfpYkP7+QEL9i07fdOTpk9Ib0at609h91hogJsMS4yPbS1v/MrIN0hHQf6a
On6FyafyxuRGoykC/Rwg/d6EuSrfTBPWSe6qT6dhctKT27heqvRNb2kbUnApWlI9dS9zlH9QVyb7
P/9dEVj/jyx5618OJOKHOb5xssBXBF73l6tbY6ZOpWOmKwyi7haOlwUbB3mJphYvthmKPWs0JEo2
edMYuNyLS6F/jwceBCDvMFIAJNlDJjv6xHAYLtiR3JBI/9h3UXvbAeK8ntULu+3mrooLsBZ+NBwg
BhRZLBHVAwKPTC39Lof02y3nSzByKSmcQnQ5EHxLcDMHYPosOkL4HT9dy3OT3QWoFZdRCHP2IJ2u
HfLbotop7n9+AMGBiiktmwe9NLrNNI7Obp4FLUI6oD9ZzoLRqOU5mePsMCj5FaVR80ovVxIY3WLw
jeJbifIQUqZgdiML2oKJWdq/vzzNX2M8OVZdjn9XKIKzuaXx3P96rJL31inbr9KV7WBVq60SQscS
GLbHlCuy4S0Wyfw2tqFgFlxYZx9f9LJbfq/NpCZlt2UfMpS8h3nTPqE2RjMc2cEFDcRNQArsXRxT
H5pZ8xSbdbX7aWfnXLWPtj++9rGT3fz84He0npEMPpyJ6E06RVd/7PuAMFtYtaLpxrWPkY06M4MN
h6mQ8nSYmZwgzooBIywwiMAgsezfPzfSWM6mf77nOJKIVmAKhqUrYTIk/vXJKWPEUW7I1CoHr4+V
2FysRST7ygWJG5WNs85Z5Z0K1cFjNcG9vSe9+RkU4VsPL/CWcTKTyaQtH4IM7obRduM1l/64q2vR
ncYWqB0Ti3BftrrnyNa8HSx0BUVdBeewMrIHH42eN3dO4TXm689/Y3OdnlQGg+/npxPEV5xFvvjA
c8CaKy7JPi2HczRKeXTIg9tBDmqWuw+SJVk3W8diB8lU8dBhnfpsBuvOLO0rztz5pNc5l4uwOZli
dzrN1YCUjaGTx/YQmCsNvNZ0x87My4/IXBQZ/Rg8KZyaq0jANk+VfzZ798GCmI4oI/YR0CyR8IP0
C3QmhCocmzyZNrjboqPIq/xeWPIDimH4MRvaLmI4pIMbfJEmRDujkTSRE4FejU34RijollO+AGOx
ZWIr/pu7M1mO3Fiz9BPhGgDHuI0IIOZgBGfmBsYh6Zjn+en7A7PaWlJb3Wu1LS1oypQylQoC7v9w
znemFFdRgwACHVGyTn9INYbiXP6csVFRNCBxtOrOzS8/z9dgOkxvq7LDE4uo7OcFHpquOSK+OXWh
OgIFw2sDSsnwf37YZ8p4TczqJnAoaglqcgSaEGcIeJjzs8jZgHTkK+yqyG3vSEBbmNxO8eyiqaR+
GzGB8hrHVqN4Pw7UhkzkCaAiY8B008cjn6iuTOuWg/oFBb29qVIo+Lmj8NF1sdpszYkGesap/Jam
450lBuMbv+Ba45T6D3WVpv7zBHA0alpXd0yedipuZym8/hJG3KRzWAYVXvTGJq1XmeALh0IlNTYs
dxqlAQm0XmYl5i7RmbGzrBNPHGBNQmH1J6u+BNMbNGicMxENvpua9XGGkH8S9vBiWhJdF5gJ7agv
nyC0yt8GD+aly5qDjqD3ScnV9kAoPDgeW+6JGpg8LSkEbfiQkZUb9utYRK8APcN9F+vdplWn7Iye
LztXRpGdAR+60MQg/boTg/wmzMl5yJ3MUyjCn8G8wLuZgs3IOOrcpwIce+USTdU4zz8MGUoF/cTE
fvXnaUXExYirJ3Ly50GBYQAHtNX1fcyudJ2U2hOAUw35EpWwMGv3LpoZ1ydEM/ja8sOfn3OKvtgp
VeTZi/cac0++pqOYIXW6vA6j8UHj4ylDgZYEQZeXyEyug2rUmOJYqPtyfDgH4nQ0CnPLeKwFUpiy
8Vl627+kK7+ZNZc3gJ/BCoLvCj3y9Ep8cEgvQkCtbc1Xa06RpS3cGGdQvyRuruPPj2QJz+A/HJHG
cgT+/Yg0bO5mQ3WB03CB/qO8myX0YLtiPhvEWKscvVpyPl3zeQTivQrsSX4JOGIFL7pEZ9cykY+g
nAR6ddMt7W7UgQt0010r9eKuVOMdWX+AEo25JkVZQndJihI/M9nW/o8BO2AWxhQt5yMVyhx6dqrq
xxZeIcB4x+E/QE58HEVUmiRuxXpjXnvT7p5KdvtNV5YvKSy9cztwaAnf0uP8sTSs4t4etT/nKbyR
9vqnW6hdZS0jQkXoRIxDV4nwASUzY7i8PmhDC0/OiuLslL/ZP87n5YuT1+HZbKmSOJBZeBRLhAYE
oLwrX6Yh1/0MaZxv2LJ8SVrrEXwhwTAG6I9+YlWgROiZ+gFZTdU6+YU/F5ogodjej3/558sgTbDG
Nly/nx9KbUy8UlSAU42pQ7oN7FythHsmwSMGTe8kB3eEhmuqfX1zkX4wmu/DU4X8LIrBTtstk+kp
7+2LEk3FqR+CdxYzN/xkEAMQjpwz5R3g87QzWQ2jBtODuzqz7HXqVCF6dFTrcAwJ15kIn0isuLmr
x665s/OHqBvUXTYLMtyotqllGf00NrF0PKv1gWLduBcaojaEyk+6sOWlthLfTepXqUomXaJ4dbBz
H5lMaZ46EYPWwzzthwR5xaSp6jrH5wxeFAol15l1y9gfNogfSD3XZ22r32tVn16aaK4vhqYru3//
yOtME/7yxNu6aukOnkRjKQxUg/Xl38/LcCDWwiCADXfK7Ke6ubOT4NoX833I61hW7bQrlySOgGfW
Hh3EBJDbAAERa2RiYcQICkCaNcqk5Ud76MRjkOYXfIjen1NEAyuiNRX6ExVhdwR5cl1Sc3ZSGeCt
5/6//59xl7r6/72+/M/w1lom1Y1wLZaI1vI/+5fDfw5p6tFoIA8jbnGLEd54MUq0l2Lh5+DeS9fS
ks0tEtXsu223NQYC+X7QR2pZ/cJLOxy0AIMxKF2khJnLBlxzkAGPuRHBHEA2EGjTS29jliWGBDm+
9dV2qOoJ+/z159+0+laBv7aEbGudn2oBsa5zpZ9arZ+9MajKNwA+mY1IiYXDAAUj0k6QABwQf9ak
bWzw48fa1Lam6sYn4hqjPZADZIcRCgvZhtEjExXba8fEODnjQzrBiIpznhylBXkltQElETsmNIjf
IUxDCpaswE9ahdwbvM+HYpoPZaoXF9zXfch8fCiY3pIN2Ogu0IfGIEmYgZuXo1EgcqlC8B18hUnQ
PJNL3O+wZ+NJ7fkdAbO+uFaEtVu4+WHIwMUuR3f8JM1g2I2OWvG6w++pUvVTiTOYbE0Qnd0ouYqF
klTrFVLrWpq7nx8Sq9n8hwfb+XunbusMyITmOJpmWsJ2LLEUCn95FsyQfTv22q/CdSmI5kUoQZIw
X0uRg1vleFmVqoSQQ4u1ImvxDKPMvjdSpOVx31M/LK+/wrAUx8XKzW0MNhKj02oUSoCiXknOhGdA
pO6I6rZE4wPibsHQd8E6jevez2q2eaHW9FeoBluyBMVeozTfcxNqcMYWN01isMdaHok2834YWE1u
1Lc6T+UW9QLwf8co31htaiZnnD6og8cLNh90l21gxk96ra03nmpbDQl2euVzjJ5mMeW0+mID46fZ
pmPW3OLZ5USbK2cDZ1Z0AGTuSKVMD4OO4UuLhnGpb5vNkN6CCfh6QPrGz6wGdMMEZTV7HFzMHkpf
pBzK/J0cLAOZIoq12eHKyU+wMJyDqkk/sOR8bDE+IRisTqn2HTYIneY6Btx/J6QbMKGuH//9Oy8Y
ov7tnef77Ki0NMxL6fgc5x9dTaoUdmoW6deoP7O77v8UeTTfrIKVmWR0siiI+KHm6pLw2dbDXb0M
PDSyUzxsZH8eiSHqaCTans5jYixFYi9KUlG9VQFjgox1/h+GGELKq2vfiDhO35EVf86WkzwQ7p4c
sF8JLxP4OjmkPqQcUDoLikY6u5KcCrZ8sEV+vvygRVgO/PtPgdr0//sYHJ2CXOgGkmyumX/MQBn5
RbTGzC+Hmn1sptF3kEQGHD39NQ2B/JXn6uxncfoCEqY6Bb1E8663WEL48a7rFjt/TumiCuJFIi1m
PQdJMNPOwmnqN2g44SZNDeWEhv6VVR0S5Cyarj9fHGCQB4OgoWYOXrWsiD+Wv1EburfWkq/LD+b/
+7P0Cs0cWS9DXifYijHhZ4YgOW0pSKKlPrEM5bFfxlV1j37AnOfSs5gXYq+W2NkmNqJZlV/zVLAM
S/RLHcbd3uFVKMCcZ+O0SqSsz0hTVwzeAXD20Ws3msl5HMrPocLsZQvlPgHEfYLX+NrPrclKPq3P
RqR0WwKgy1UCCWT1M52KMrcAmCm+hD5DBMLIHG5tWEREyOyKNDFeqoD1fUZc8Lqu64TMmc586kPD
5wJCI15E/U63Xhg4fNXLe12KtuQOycVqiOpmrY9qeOjh/S8vOY7hnzlZ3wpSUpafMaZW30GsKPcG
+WY//5JJPM1Bdpq+C+P82k4FUx7KrSkwdGQvyAK1Mb5URND+HoEKNCk6orqGamAuQLwfKt4PH29A
TDMQ88zoFSrwT3+rB4W9zXJreoqIEg2IORLxoDCfqpPhnhrffJhH884df4gl+blHw3hubXrVOO10
LHBLjwxB/07NoPYp8Utp9+KFXe9ZhiOhjMw5vUI04YdDuj1SY7bl1a5FQ0gB1j3qS1OWhXjw8AHt
ALJGGxcJ2LUsiD6ceOgOpWUBcYYl+dP9FnB5oaOCgFNq+zEvpuImBFLTotK6XVboD9lUsDclymca
qvZMu0WIZ76kNglVZY4o2kvBLnw1zx3phJFA7orXeCd76s22JhSdLJjioOkhBSFc9HWkEICjIMg5
E7OoPs/GZdiZwM4/rZzY2Jma9C1QP7t2xK85AhYjmHqnC3M6B/MUXORAqh6Gb7HFKTAfjMWBIfvi
s+XYWkX19GxQH1+a2el2el9scxg4SCOQVqZVFCOKqsZdYR0n/rprNSQSUwDRo6L+EL0S7/sFqFiJ
+jtnd6soufGgSAH5Ni8QY9Ufco4vThO2p8ZU223SJ7YfgIvYQWpqd/2kfpth1eyllYzngdBTtdXS
e+HK0Esm+7427GGDfjS/xiZBEi1Zl2RwOSoHgzOQaqfey3iRqrcZOkK8iJiELeB9AJe7ZEg9Objz
M7C9FePoXaNpNEwDpqp0bCU8uuxB7Y329nMI/o92kOfosyaF5rv953Lxb0vJ/4WbSm3pZf/7TeXp
nbMufv/rpvLnV/zZVOrOv3RDRxdENhBbjaVu/rOo1NV/uViIuFlszRRCX/ZU/7WnNJ1/qY4u6JRZ
b6pU3AzB/2tPaZr/4vcAsWPahkF/wT/6H+wphfhHW473ytBN1zYFs11L8Ef5x+UGk6udNOr9DYLO
7dKBHmsFE0ijp6OniFYeVTMB4QwBFQncYXZvyFjwZ2BmcLYaYtaAeFjyxqfyvmWGSTqgx8al4k0n
gsdi3+EUDX5SEi+ww0QrokrDlZwJi9c6haj0tCKL1VWsgxo+ZmV2TTHkPEOqvoMUv2Yt9zo3ub4x
eiH9pBtImuhOE4GlJno+5GYNKDNe52hW1ymOcjhQ7YY8kAoI+pa02Cvos9XEKOdYxeJsJ8qDNlov
+M+Q1NcOor3E1M6TOpz6hJRaFNRHS8HIoIbnXCLNtqqNNuKddGvBQkBpfHPCvWVB/V7Mxg2bk6xw
PyCqvc/Z+xyLL2m0vtHAeahh6IjIJ1zryaq5ZgaGQAyZQBop6OpleosMcWFLRNWY/s60tzEVNG8u
3VCKKGgqQHuSZvsuw5KQig92ieiQifDW0xtoEaT1MwDjFOzVC+RVXychXZEAaGzHrwwOQ0hDVCtb
Cz8sjq5zYRSeXIKlhkxg+QAsSW9AOA07n0LutCzYutaTUtmjV6FqIJUw3mQNkm8GcixsPxpJetAC
D6x9NVo0I327dVVgPXn7HJ+cWP0d2cV1+ZDrkNrVnT5a19y04XTogtLPNSgayHkSpNXAAQEUWB+9
Gu4A3u/igZhGY6kPNri3MG6N9kuqABIQ6rZl5dWTVdUa+r62xa2PoWaEM0BXI1gXGYBnnjpjNQcA
YSNsPwJG0yHlX3K6NvHIRKZH7E/VZC0adfM+eXHzpwpUGBcTipxryuUjneyIbXvT6/xGqaXsoyTf
u5gYwnzcFsarjA3UecM8AfmxWAuCUYny99RGkAlMjrwSRthprR+JTvEz8L6baKlx8GUiMDRYSkQH
Bm9JeSEqfdU1wItdZ2Pb02qq3xNV3Sdj/1U/yUIe22Z8ZKIFVsyJEecUG6UEt9yDrfItZKOm2n0H
5AsbCdmrBYRQ3SoQoTf4Zuo02orQuYGoJuJDAiYJ5ZwQzUPeRYqnM2S2tq414xfrAdPDAprw7pEo
RNO6NQyc9ZGJ/SjDruS3RQ5qDQslzStpjyNk8CLD8VOuh7oHM9Iw93wX5q/FqhJ8RA3pnKgi96Tl
RRfVzE5A/MR+WASfWddPtxzm7l7N29JrIGptyCd191qe+eqon9UmgRJj0Tc3Wldf7DR6UlnSP7JV
Nx66AsJ81x7dsL+1Cn7gGqcV2t9BBdh173rpiM4GpV+a/Jq1U2MVx1BJjiPpHxTSj11H+mkffvZ4
JtVzi84nX0pdNzkmiD4NYG5siGeCQtFrP8kltQK79YTgaWq/K1tdqfjdoZXgISQKu38yoS+Y8aIU
T08Nc4caCXvL9x6PNNFVmMVfBw2Nt37QmBvICd60+tCj7U/JJDfN9wDGKG4cIgI/EbDtHSykJUUd
XiQvMIKN42AeVDkcM6TNFpOh5myVA468aIuSgkEZwxECYboMbRlGibzZ9riqUjv2GhBL+as1lDwB
v0Sx01uVx7xCn/TYgjIjdJDWzYvVSyDV65zfmluD+U5NgQ+1+MG1JwVIoW5RhF5Qwvh9lK3B8W7t
UN1mmnKMMDgU4s4VGJFwL4rmLWTuOQfTjW/TOoJpVvHni6RotzmIX43FTnkLka0Xiz1HW4fATs0Z
TFIos4ajIH/Jq/GRLfGa3BOfca9ft4jYoUmU5EAvSQ5CmWIY8cbzFKcIxZ3DiBgYFkUEgzaQ03OG
3aUaN7P13Rj9QUH8O+OIrQieZOHoxePI5fJa0PdM9UtknZ0MHhP/YPShWfk1Js0pSi8ONHeMy9th
ks9yiIAA4U5pPMYFUfJZObT80ptjc5uZJAdP2O1mDb1muG4oxXraCu7FxQ+PDIdQiFHH98wIBzBB
e0gCxquolavsZXCihxb+kKWnRKvKt6x7z9iZhpm+tyxGHA5+QbWngTZO0n2tZLHt0a5nmY3i8ZcM
vyswgfP03bTxZwXYd8J8M0S3SMMBnXMcYhRn5Xmre9Za2Id6nZR4rjMzwXPcfzUDJmwboz+niZF9
zwADxWxucWAxjai7i940Z7o6/BPoiJriRieyGcONJOU0tbd4FIrVrLvfMcSVn59zIaNUweSTJ3C1
es03wD4CXItVfMLqFJRkGoJoygyHsTpeOj8p4MbRn9dK+NzP4lC79W6qyS6qGQu3E/YvmTzA5dhC
V7sMA/Ig61egvQWM95FP6/lH2yKh4A6eZzZ2glSL7qOJnnNiDOeB+Cydk9TE1MX8W++IpgLrwgwc
fapN5skDMqMNwvZTrd9n1rBZfAzxK2+QZ4GwT9r5jIczGvdagIsDyX6nFR9JiPw1bzHOdRvKN/TD
z0GbnQrk+ThysXGDMXOCU2++2XijMpWPNsJ/3fUbx8t7hKV1fhcxbZ7Z/gQjjm00IYStJLvJzg64
NQ8lGFMpuUiT3SyabdfCcbJauCgGouER2daxUb5I7WGrwJVl/s458gqwXg4csLEmMoBFZ0Y4WK0j
ZGLf4fJOE2Xq4OWS2UieDuM2tSJSN98S/grttgSXSyhWkVCymUAVyn2m92ct4Num1slHILZ91b+Z
LLvAb1brYoT+17v3xaiBJ+EOYsMkEedW3J5xgdo/c7+lMe2C4GGZhRY4La1Mvz8rQwZB0bAemsB9
D6EBkkz2AUtMMpermGYTtSZ095wB/h9wFULTeEgdHlQ8uyNHZ4bvO1N/UcdQSAYxCAS4fBwDfXcV
IdZklqcroFyI5hUzWxdSHuyK/MH8a47Hr5Skdd/szadKGtcA5fvIEwChg0VCJJi1m4e0h8qQW1AD
tf5eRjj20LljyTGkPKU22KG0dF6VMo6wtVjobdCTjxKkFEB9LXroHOQ7Mpy+Uox1a7dbqjkH96n7
pMfVHdXjTubTva2GJyN1H1igw9Yf1rU7+EkUH3HYVHN/qdQj3vVvKZwv4Iqe3Qzrrp4O9aB81biY
Z1J7y2qxelUcB92RFAU6eOfVGEBtUNc4B+y0Zml5Vgg9jAzEbRN/mrHYuABw7YkMb6d6sZKvrhc7
wc64Dca1TgL35JhUy/wGHQYTrCIFqiMcryrmuiXHvVsEyRn8ZogBaCLCW4r+O8jLY2ekp7IfUTmX
d2zvYF9ni3eDASneJzYp8D/Mt8D9LtziVKb1DqOs16oXet99NjEjBflWIAiQeX1U5uco1I8k+HJe
c2QhtuKQ5i1oVplTrlwognYgzoBR4CF+dfiERr3cEsm7qYoHHa5UAQTTpj4kdQtH7GYCRm4XGmlS
8TmEZ9A9V6GzJn+T3FsUCsOqmVDAVZjv1F9VbJEoV/LYPOpOshsrYl807KesWlK+jZmTkffacxOn
jxbnBpzfVWS+FzT3YUHaLKerFlhQLwMAv+kmmcdjZj+kxc52HoGu8unWKxdCXAg5AFu+1wOyr6Pi
MTJilhvEbBbWzeL1B8dd+4ONDqcz1iWu0MooXwdT2QTyk9f0oOTkvCGhWrZfCmV8KNqb21E/BMY+
18iNqSAb6CqBJbGe/E4Gop2ckfAJxuRk+a4ishhWKlWMOY0b7KzLfIJEmw7j7Y1NQY+VgyV9MXNc
xijNDlaqvPal8ebYYQZqQblWE/BX/KlBYDJ/0UYexfTJYbcTNJQin6Rp4PRf+MBYnyi9LN03Wuhm
LknsLTLT4Fl0lKLU1kX4ZY0zmWbdUuS4IzQlAA/LZ8fRydztZoK9Y06zDpWvPHlqbewsCPDmihyU
hCwxZ2/w8KIZYcoBdFqV75h5qTQM7iQsptlOr+6TkQEJEiM8nkFpe4kxnU28dB3yk/zoFs7Fqq6V
io6PpAUYPCRDF/fQolZEoQD1pXRJ9iPkrwTzOE87wnTeFOJ4G/AlBdxOdxrWAaKWFkORIEtvDJ4q
0gtmd9ggGYI0iV8Te2A453c2jreoV0FztOfs7LR3XJZcLNxDQbRTLXkc1ZfWWopfvCHte4INtgHt
gWLlXpoawWygk7GGYx6j2ii41FoOiz7/Tt9BvvL2kwEbP46B3AnGoWGcsQUjhTNnhlUGJMttyA/d
cJrvUq3dkVa5ymLz2CxiD/BdOUVKNh/sQRxT/Tmyol1iv6D9gznwkbnBugWmqRXmE0EAbKVBNRXf
MSBogA8XhBCend9rzntTgwusYEmJzzq3V7r7Dhl/CkjjXUXIUQJ/9hPx6KjmlVUL+hMCvRL6zWvX
PxNrzqd/SpBARTCkA/MVlJE3w8whz3w1t3yqQbbugJe7BEZm1trBYji2DKSnrRrj5OeoaJSHhfkw
4C5MS93XJlJLsIGlDQDP9GWuEi5lZ0O4AkS7NwXMUtDfTXx/YlxQs2pvDeKa2tLCEjHQLUm/Dvtt
CVa8hkCguh89SJU4Jeo6n70k38VLbsJ0Bn4O8+gRduDaEOcu/7ASAA/alzAtX0E7Kpod+2Gm09Ee
l48/s2I1CYypdaJsW7FKivto6I6p5ZkF+xjT/eEFTXMLkROGyfxuU8JjpsZakm0tCiw7z3bkNlBJ
ssds6XpAxVmLe4FjZzo5+b0ZKbuEmF6rXFzd17pG9KOLi2ZSVCvpxQ3dtw58HCpdrmTywCk7lnRY
a9QvxCL6Cd/DriAEuut8kT7rxnedzucpg9+TQCwJBaPtgmIrOvXdELBjKyAdFPFed+u7uMA7UlfB
RvTKhxlHN2LnWahxSg6kfUPpwxKmAImMMofkjXiDHBe/Tf9im5wFFZ9ganNkxBjih3K41TYkKCRi
4ONb5W4CwamqxBDbT5CvFYbUrldo2S2RwdGBPLZryYVKp41lkgVJ9zJ22QEPWM3igsLUb+zuFrvt
FbzrCtG5P8fJVqmn3TAisGuKu9E64Szn4mz9ksPPcJqtXMDsg8vVouywQS1jg9vE7VMPcGVY8sop
vzEvW02fDcwG5i4A1FIwIVlMSLrB6Vxon47ZcUulByRmAO2IaeQTworyNnC26iCBC3oEKKcaZtB5
/hTAqmfMdaQHc3e+jzwbKp9bmR9b2noZLCm2I3oLcVGV7IUzYVVPez10fi86tMFgr8s8vGJHoJUZ
vp9ujR36GEosdG23VsrEa/WY9Pb5MKXhJZherR6+QI9GN89f1RbTPbm7ZbPIYGNfAuqRYnqcMwe6
AWFdATGdJjahbmu7JOUNb67xe0q/yMXeBlPC4Nq8NYtPWIUO2JEchJFeIqkCLWcP1dVmGiSJS9EK
58xC591e3OEMuVb91HrDPeLlu4XKNngF4T/R8D7QvdbavaPZ1YEF+i4h7HjVqpk/DG66Lot+Xsvc
C5ThOy9shFhtZW2wSvZrACOHCTHF8RxxwH33rScVdf9oVU8xGUtT5RUDZWeNBBDua+ClBY0rERjZ
PnRhlkllWhUiOZF58FsYv4lrAp6QnGxa7bEd/UJMHugAugf6fpLrqUbsqzXVSIgIyIuHX1GhPJux
w80gOdnFauR2qFVBx7/thj0KgsNYMc2qSt8a9mV/ocLwiEKlKJ62uBThlTCjhJEfSuDktbHv9ENB
uquEzaUyDB2ya1QZD5VI+PAe5rzYadZXnJjb2tyZrrUFSYAS2/Sc/s0yqpWC+cl1b2kT3Vu8B6PB
JQ/WRUq47pOFRo5cAkIKVqalPgZ66aesDVap6/yaiCwkPUwFLA7P79DG8xft+opMso06uI91sK4a
db1EN3QnpXopufYD5Rvi0ikD9qQQPeVOPzelWsUvShPDUqDhVFMCUAQ3MBWE+aFHXUx0tm8Pv6Mx
pmK0qRIByCGn8Dvje+zhnNglEzRtA3BnS21/GetlIEuLZs+vZB3Brqdb0jPyzIs97dAKj6CeEqqj
44grYIX017ZMmKmF47ubVE9kNkH7IYZi5Sj2U53UzyJGX5wMvyvSMkVNZ0auHBNskQNYg4c9Y7ff
Mh6ENwti1sCDjoeAq7HiXQkaRhlKBp8oOwzmdCQUkJhnY8MYdg0X4wXl5tmYyiO//KjGyfNAy6jq
O310d5Z7muL2ZLPSn9vzmJnbSdMpaKMNHNj1OEc3I3jITGT+1MBh+wL1CaU2KCcbXU+WnuvhmY2b
0XxVdXPp68cMKJJJT8u+FlrBvE5GFJLDGS0O6XzBUY/IWIX1VK4tfaEdABJ3y3Cny578dy15atQF
mWBewzpDOsl3PAV5l5vs290jJIeNWxWP/Zh+lUx8FL14gLdE0pv0mnMVf3aD3GpMz4gL9rWCMRIT
gHwfYvzse3vronXlgwBqOh2xklPk1ZTbC7OcAtYiAxYsbxzfDEgkxDunPWm/1XMR2rsgrx5HbE3q
+JmZvxpUMWXKqjs8ttZ2yp9N4ymBkguSlMHDewaWcILe3MXg7sJq1aiqp4f9WZoMrd1xT5cckNo2
JJwTkF82g7PGxENOENxwFBgXJ7A5OX/FCLxmFRvgJ7aFbTwTRIqABHXvbzPTNgYSi2DcDbq5shqM
A7VzMrUIfwt/Zve+wRcaKcMTyRPw0TZqKjctxUlirkppealNZxWVBJL+ksnzTM8Rmr9ck8PP0W4B
gfJN/BsfMtUFOi+TrBDJRsQhd7NUv6IhQo7V1XsoD6OXI/6EKuXAE8BV2djbRsMn2iXPYToeplI/
U6NfG71OVqm0BzzjvPaitA7IV2hy9Vnx01QBBCv4qLSGrIE8cfTDpLPR0MQZXOmlks5jOLOFoBHn
7cuMuxoNdKfk5wJiA8M8xz51iiz3seW+aHFbXKKYkyHKXzM7em67mc2kzElE88cpChlkEJQM4XSu
8wOX5nRrRg54J45e7FYzvNmGzq25UB0WblWNNlvoVM1ZCFWl5T8A+HgpJyvGQilliXZdEnIQL8GR
3Q9hc0hB7uZ1tM2jbvnVnloXXm5x14yy37K32kpnOhjsczNVHjImTkoOUskWNKD2C9NWNqBQEtrB
X7IMJDM9O36ddGVvtDq8DCCgG6ueXxav8BgqIXYzvjBNhUgWq6c4cNGr4Ycx9JOJzGAHaAsbfUQI
nlh4S76G3UoPul3SEy4sPgdufNY0kCpqcqvD2PSFqt+5VvlocarUh9ImfaTInQ+LyNdFJLSiD1mL
SX7H0KsC7H5Z/lpHymfSQqiT1D5McHVGohKU9yoLM27veHzC//HihF2x1ntKwIlYeFmWmxwot9M2
u84xfdWD541ybm9WHRUpFyvMLVzBdcc1Vy+Eao6gkiihYDjxwZ+mpPKi6DVn4+bG8FGKiigS3YvI
JKsYPus8LZWKfZxzqO+hInY+MDhkl4pJ85MSm0oyiNww4jnXdhTvFQfEsV5tjJJmWQDM3E1jeDSt
XG51s79plfIVKGAuSqLJCB0LgpMdFF6ltu4pgJN27OzhrlXYXQdaW6zw3oEA1h6n5S0erXzHuB/f
tkkco1M/JgNYIJEwFdaANbcJrFQYU/sBPjbDK2jBjhXwZixeckCt9zEwU1/PrB1BOgBFbP4AUajC
vDyNZjB6ZtKNWxNcXzxZ9zMAqCqxP5G65UxPY/uS7NsqwBMe5CADfCTd02lMN1lVEVQ5B29jgzGi
qrnNydTohto4/nzB+tjBzqXpW4JDVWz3R2vOnozkSZZ2+qACyyqI2TaleRMhKCLN3eAMP4uh73eh
03+3OsmXLUlzmZaKTdPZ5tmpDHyB3bCDPgu3ZuHeWSaxgzwE9WFuXJ1IF1YVE4uNvkqAGk+B1zi5
p6lzcEAJ3a9twmXWshXTIYGm2uOEOld6KLd5wC1g81msDYOPMOFpH21M62AgYFBWmKJkcNJhOLS4
LLfKWMHpMbvnru3w5McmKmL097GtEd+JsJUHmtc6paslTxvrhMWwYHY8mRA6Xk+EPJMNwoJlYYnO
fRIfi6zbp/ZIhpP4dooRTkzRgMYDzL5GmPRus92Ms7zc9PNg+w5JY2bWOocgRavZBvGn6/JAdg0f
REESKuMbER6d0njNXCM/ucsQKqXgaweD8opsLoaY6JWolRKqzQLT2nUGgbEPGZ4Hzmh79qA+p4Ug
GEjT1c1os5omZ67a9PjGCzvkO6e7W7dkq2cPabnHmsju1EOi1x1KDKGrVNgFE2eSeFGqnpUQqFk+
z0d04UF4ibN5Gy/rLqK5P6zRFT4ejq8eODamtGeQXMtSWl9wX/nJkF+pVNwHwFFDS+om7iU/D9LX
XiCdXCToSfns9IqxdcN40TgvHniUibrBHyiJCbx3BX/QKhJXwo3YBMZGsktIHGKagW8/ORNEYWUM
MdzYfo5A1MA2O/Y2ey5LwFR3m/S5K/h1gaoM68aBYNsk9XGMi3lnBNomycOvoskQn7fumnN5RFke
XKUbvisaK0lUOjMFGYM58EpeZQQTjXR4l+YsztxQv7oZEcfmuNBPSH7tRdevrc48s2kJrq2rc+7H
HexEJISA+Vi4SSxQFJP5NYBT6Ltu9Y76rvvV1CBXTNIVK2Txu1ZXXoXdKkykKSktnYikuHshr9vX
u57SvUHzVM3WQ+KY1zQkCXfIZ3+Ueoc/A+GMLVm+k7GGYjW0Ms/syO5QVECP2TR9B9rsGzz5+xTU
lDpxsoSd+DZYkVOJDlcpgKuXTcnZWbS0M4wjfr6I0Fb5wCtmuMYVZZdxbJdZZxfln4psvsfVEIqH
qWE1FYXBocZKtdH39A7hToQjrXtwgJoCDShHOozUeeb0GrNNU4jboDCrClLGt2MFVcja/B/uziNJ
cmTLsivCFwAKBZka5+acTSAe4RGAAlBwvpDaUG2sDrK7Br8GLVLTHqSLZEZGpoUZTPWRe8/tusTf
EvVVrhuNhmiBX6rEWwiHqBNDhLPZQBsLzl8bbYSmLjKORgqRtkXfHLq5sTUHmPj8eVKSbM5CG6cC
bMYBkdGfZh49hnJ59eR3QKaSyjjNZsSzFpNmYbpAVOO0fRN1WDEzSk81uu+56qqzwa41XRI5DAlb
1m0Z15bdQrjugDAuBFClo72fRBQqHTllOWRIw01gdc+vBbFZoggD7pMKoh/Ex74GlZ/mO862aDuQ
E8XES5/6rjokdYEkTA6b0I9+sVmi5ph5GLTeRhMUHnQi37qs4OX41UMYW3prdjELtbkGlSULyiUa
aVswQ89Sv6MDFCfk7t5mnNNgxx3S7sOmIaen9NeJJnyvI4FjWzc4Y9NM6o2I1AeJHhudGvWxrvHc
MmpapbZfHDpuMh124d1CpWIzhtikrQemtXmKIOnzXxyOkSYazAP8iUQYScbgurugECabELveIYSl
WxxTkt9ZpR88e8f7rG5Q1I9mPFVnpRq5dWt/+e4K68UVhHOCGDg6UV/t8Ho/I1H7Y/Rp91R4cmK5
lPKWFBEsngmbrPaN/NlWZKIT6RDAtGI9MNidC8rLJuVRynNZBUfeQQNTuUY7E/S32G9AU/rtIa/1
BMVOikMW2Powctoi19Hy5M0uUbU5tnOde8FjAlq5kszQGTlYLzWqKPrA9F7hjdgazSw/crlLiNP5
tIMG97RAqdOXxe+wD6NPrK1fRvHj9YTeAVScXjJQ2OuUwKttquRb26NHFBNndkjo6e6fvy2Jo6T/
RGloQGRSWnDC6ITSSDUlcYwSphZ5NPeyiT/4NtX7eiqx/ACgfFFk6lIUs0KzmvLkpoR4TumQriyz
qh7KscS/RXTNLhJW9UCFvFEe92xhO+pKynBylTqcNqERE2qwBN7lOQONwIgBjyw/vOUHWk/j6Mc3
KQvvZNY5M2KrbzdTGIudpc1f2i5ixKo5O5eGFcDkdzdnHpN16oQnLhX14CX2ActTdIo0J0HNZmur
KkuecZUDOUk20BoHL7/OflRdreWHbibwBYmpDmhMl6zRybi5jWpfhjjcQWiaXgYHeY10v4WRxC+h
Q6B9E2IaUqUotjqv5aawUsbzbmFBl0EB5kxy3A+yns95UT30luHdJGuTEWBAZtunsmYsMNW0jqDr
0kc4AfuqzX+MoKqvaZqcSoxaz56dblrXSMgZTaBFQYuru76/OXR3e1GlnzPjtXCy9QP+PuRaiyJy
Lse/5DqXmygjljNUef42R0Wxgbft8bWQzjGK/W6r7Z3oZyZ9HuBBuxzrl7xyPgcBOpFs3/zYco28
SRdmK4gDUkNjNtYQg59qI0nOQct0CGTGk5/2+RNLWZyh2Gdqx6wPiRy9FygFTE872W9zD3wpdXR2
LJS7KWviTrD2QxsTILMyVYuDyxQWhFzZbAFNWyB+sr/k3MTnpIPARJZ5Y1fzBqPDVY3TtHMDpzpR
rj0SHW7vxobbB2Qoq7aij2/4AeOb24uvebQn4IYO/Y0R3ueyMu7W8iNdSLCp5bwmtAbrkRLqoVlM
qXYCfHJmk+RAIXj455/7HgE+JTETu3zqoHU0UMJq6THzMglmX6sUhG3fS31FtXbmsxgfXbcnENCP
hrNtOG9zQ+6hMLlE0jJor04+dlcY62iitFZ7HKvrKDAmZNgEjk5lEVzMtGtYAcBix0Ha4PTo4F31
FNo7cpLELXBBzVIh2Ds3N9nbt5P9VoswYD5GTFuZeA+kmv7xWJhya2X2HQIQ4LQ6YZzXF1+g+4aq
IxLHTaZLPAbtxUJyzgoSlnLZ6eKAFjzbumbT3SzFLwCle2fD0OwGezI+W7pZQmVvpUMpOwwA2pm8
sLlHH1Chpd6WnqFP2ISjl66WiIgmyXpvzq5mmkPGGGD8ZpMkGUWgygGge7RKymy3K0PEd+KDDJTm
XvjMuSL4m1RIOQBWyU6jBIAdbxBAwtQifPVWie7QOQ7i5CYZ7k2pbGC3rbqTQLRJS48wllnP3/EM
azeyw/c5MtHjpGgO+f7+AhpEmTYUgO3d4c2buUa4gQ6JCGpWurjoUVp7D0HIoDoiyAlxjGRvjVLv
hdAe+WzDnE6tZhVaDr5wmDoveeJg1N2gejOhSEN7dxGIrd0G4XwEl+yi8Scz0Bsjmm6/AiNIBb+L
E9dmJtxW+KCH6miEGHjK2GI5xADoJIa6/ABZTOoR625U+Nd5sTJ4KVMM/pPDfvQncdVq3DdNE50U
/MR9LeqvOBTiarCh26Yescrw7fRrqLz6kZL8JVJGeW7Rre0W8/HayutsP6IhgyzI2HoKw/vis4ky
ZiZjlautKxINGX98TonXjfw62cuOuALlpM6HUhApc2bwE8zPlVNmjHrssGYh2v94VeZ9RMFwbUL3
7rt4kuJ+ib0bVXpox8laR6lUu6xKaBy3rj1PV793Nulo9ru49f/UmfOkZQvaZgarKNx+Q0gZG9JR
PiDXftclrasbeeV2IP4B/4yuSR9gb9OioCCOqeCUHqYPcxzUK79xVRfmvVTKuTuW946J4BtV+Kfq
pjfeIHBgUWgyjheXyUcYEhWsxopsuIFHDl5d3W7iYHC+pt5arhwuzTFnWh7pLniE8bPFRe/BFl7i
SEgVNW2MELY/X6hHYuCyJKjLvv8kOWQ+1fgfkJjJl9iDR23owWJV5l4TXqORQLlOYYNAaoxYvFoX
P00ppCpArCG4APoihhea08DsQphbA+1HmTvzuq1NdG22qc+SLOF9vii/iDagV+icYdeIQi90gHZf
Us86rNDCyGC/IuMNvTu4WFI7NiOAzz3uy+Okh1vj9wP/2E+PafgeQIJ8jKNvpLRvAAHCQ9n5l8ks
+uegq9A7cHPWkYm6xRQUqOc6SZpTkqLR6cYxfhjt5yICaAF0fqe81rsiQYKkPhdkw/gYw3BFi+0o
1mnAEFFQj6PFwwfCqBy3tbtNySPRnBV++O7Rnq5N/Le7ybajc8M+fpuZTLghwIhLWtI89n5ONHGB
fdkOmfnKqjqLIoGyghXAJLTRR2J2RTT8hI/AYppJsw5Rj9z1GHdV5DuLFIQ86gRU/saPX+oadOyI
XID9ESFkRIOgKIs7E80LGs7SE3BdMh7nCeitnqLk3vm3tuIDcBgNg0OVIQU5QPsimHMSm6y1zBjX
YBe+Ee3kw+D3zuwpdpIXfFHW9wTA/paWxjdkxmbXTh75aQMkTgH3ckdo6a8xa82TbqdjFoxY9BgA
t/nFGwK4uZHL5MKMQCyZuT4GUX8S/WM/6okFt+NuSEgj0vZ7dlGB+uNXschm0sr6Yye2RHfEDDNJ
0EC2JKXzL97NNANnHLJF8EWm1zY7sYtXBcuEr022RjbWeJvri9kHd12Yf1qiFiHhsMhvGViOU3DL
HLR8MuZiRB4nN7VixRQz+3AZ5Kxah+wtHfuvic85GLrIrXpGImnb5qx/R7H1FTFYhTUZz4yeSLWY
iMHKnQyNQLFoDtLmzPwMXlLJNHcg35tnj/KbyQiYPTZrs2WQ6dElhyanHqVnvzXNXLHtATZnBmTb
00YfjFG4ELOa13qc/lZdN14CUO74xfgR2MauLN3wUEWk86WU97uSgDgMplBTfeAYwGKAUrnipRfF
hXK53jsT/cygS67PrrJvs2XP1yb9cAK9VU6Y7CAgPLEzAPPaY42pB+B7eLadfdEE7TYRngBleCBM
wL5GVnkOo7A5jE4X8eA19aZ0pr9OZngEwFX+I6k6cmcNI3odY7x1jYqOg6fiFTsuyESZ6e8ZZBxh
GVpHrzTXI8PNk3iJiFu4yKzbFk73aQMKRBFKQnv5h4M831V+g5JHjt+Jz2o9KcWPdF/jAI8Qu835
PhNf3H7EQ0cUS+qD62koSGplbbOJrEMXQijyyCChusuRJdIejyayCi8PmIhzhVdlc+M4XyH9HY8T
O/TUpT6Zw99+VhSkJFjElEGJmjVsB9PG4tMBwxlK7NrCeTdx3dt2zyatI7CzxW7gMMJTLvLxrrpp
FwXEnI70rAuR12DMUUugkfmA3SgR1oQJa1Hh12GDlEPuxgK9If57kDYVkR1OU6EjItSNkLaQ+SYN
jpURYqoaMjgru3CQCiQ3zq5hozTr7tC4BH5lnSxNSF8OU6gtWz7bzN8FQ4w3Q5T6UukGnlUdbicn
IVkwov0Tqri0fvhSuiZM/5w/iI8Gy6WONGLYPpaSyUP7G/wJo3T7miF3YWi7BsQ27g1jHo+VW7z5
jJT2g41CU1TkdyH+5t1YLmkK93xGSVmEiu9WJsdLbuvXvnWe7ES1d2foz2IEpuYVX3Yz/4IXo44k
U7oj6OlmcSdYDcPcdNlxpwS78oUhPybcJZGvdk7+wzEL7RqMxTrr3fJAU38pGCqcegoWZM8s3WwB
ytHb4BmokW/3CBJRRKPFSc6ItfVhYr7U1BbqAxNU/QQewvTznxp53xzUG6GRsjiK693qB9Bf3b4r
3Z5IzegpG2ouLwtieEG29DagUgxpdVbWVLDBh9gfzZcRD/1fr//M8RkiqdXtNYj+REXIeLGeqPRi
cxXM0MGHDBOCYgCyDqg/lyZz4iND1++xQpgIhNiQVB7rjMDhPH6tO4JoiJcb18tv44g0m6K5BH3K
fkyEf5St5cYddtzuIEBw25aDS/76LPDfh83PEMUoNgDVrTzHwGw5K4P03KNKur3fKpRK1gzGnxTb
Td4Svjt47Bpj9k7rCaohRV8FCU3Z50Sif2idbYiXAYTxS6WqnPTrCOozvTOBcHz44+QtXGUwTJD2
XqyKFxh5ZEzIufyqiZFgPYRl1AzGJ5+d2WYoa1jlhHttkjn60+N0yBiInBwTXL9LbGcUlPW1qZ8H
EmY3DLXjne7k3STGcDuYaINgsFE4u+gv/PY1DFGlUnwBkcUJmFY5c6aBa4OESOFhSnYI75z632Vq
LBZKhBdsOui9VWBdzDkC7mWpRVT6XunO/+cQ8GFt0QEs/SzDYuh+pR8XO/NUDGhq1Dy9wLUNmKUy
UkZ8Maw0yUI6RRfflO264ijG686wT1fTVljze9i7fMZMCejfPo1YlPs2+kP6UH0xiEfl5vaHjWP2
R1v1v1rLLZctj3mYnuzCnjedSypW3DLu9SHqbCQNOFgyZtZ9ceqGnmVpU1ASxuYXsGuClPCLrsPw
sWorSSEWdQwi+LiDPjTY6xHYFPrtZYA2S1hK9W3aDbai0gjWNtC3xRr7QsSfgeJf8Ab1jXXzEOs5
8jc6hDcVZPVnIdTV0Z7844XGMRDPQVI0D2MTei8M7n4NHFSXCNfAiCneMyLnkEX6ZJNzzQ5ySJ/j
anjocAFsvC5292MzegemYhEunfwXBJ6XblTTYyupgfJXv06nFzdk6wCTAp1GIp88VReXvCM/bh6L
XwsIyksexoT8VBnx6TfLBt1vB6SPtIJEY0oWw3wv+UgY2wUaM4RwDZPJkWsd7Dp7S8PSP1tEVO0B
iy655TPKS4u35H9vr/z/0jj5//JN/ud/NO2fuv6jfsf/7p3k7/6BvFrev/Dbs2SxXSFM6boAVP6P
dzL4lxQyYCAvbVCvgWtCLvhvxmvwLxP+K3BXsECe5S+cuv/rnXTcf4GrMB1TAHCzTc8U/zvvpPx3
IBbeTSya/D8wbwYLidD7HyxCwn9anJDM7cIoReBDObsrWY/MxnIPhHo8j5CqffmOIR2F9jQdoZvF
sI3PIZyateuypsyKau9V0l21gdiQzPQldAwydgFcZn5+8tHYeIvutPSsmMsXsiGODqa+RNSZ7hN7
JzRo0n7rGM2ZbrFqYxI5Yo69LWWbZsLY7UCcrrpBod8V6rF39OM4T9Emsm1/nS52ymggdxNGvk2i
G2vQ9Ms3WOg0Q5Wszz7BNg9aExTn+bUkPZdzi052ndY0fmP6SqL4op2ySCfv3jONa6Pug7++TeOZ
uFF7bIs7wgXu6Ny6+QESF1idR6noeANBbENA/sFqQrC9yoEjHUazUMjsT7HFmVRHr1AULV89DWzw
8oAU5ArDUODybY8RiTjVNvba6tqUM+qz6Ur3ehulftM5010rSj+sGNKIaD8cd6jwvk0kjCbMWWTG
NMcCC2UZ7k4RA7CW5jPhGDMz8zrfpwvCNQx/WW7PmrYeUO16PjYov4InxrlicEvTJBb42ZdcYfQ5
a8mNyhWLqCDP2co5hKbAOSyOdquiFYZWkq9UfuBw2ySBxyiwzMw1C9no0uK9dCbCU02B4X9uSYru
/emxN5GrKDFfVGxYG93+5OiW17I1/oqZVttCGblq0pRWZQJe7gqSvDyVTtu8RUNPvN1vpRIocinp
o6xAUMZARawBe4JSiBOcYc28FeOpSkKMBWAsjoEyXwVNyIaoLsqWAtpBkxMUKALWky22iR72yL5v
GuNg+sGhxnVfS9QJs9HvnAmZsh0fi9bBG9/jqPMQoTATZxXlkhl2s+JF0hw86dZ78lCPr2mb0b/w
5+lRJHfzISKvLegRZJeG2/EZcB33kffo23kA3ic8FUJEBwbZEymgS/ZhGwSbKSNdjExyXGoQ5X03
/RPawXS0IsrhJlasGywElTnexpYQL7TPubMz+NOv6rZHtOHUD6YYqYlsJMBOmoGn84Mvncl23Xet
9RrMyXvske/chfQNwcWZc28b+E1NuMGI3QQZ2445WnaccHWMHirJLmjFqVJcLqnNfg71Oeo9G7YF
cNQNln0S5pTRrDv0Tg6F61PgaIyg4NfWsk6LHV8cZFZVsulFiQ2CLIjRB2qpzTFAs0drvbDdo44i
oJLsaSv2HiMdUZw0bKy95gWO+aqzwZd2PqZshhzQBho6WfHbthk1TG5/EG6CBakytwnptS5ecNST
I3zrgQgVWga0d1mNx1PN28JkXtO0Q3gOytZBMYZHDm72qjQQMTQDVhQb/squwhGw+OywgT2Ncx2/
u2b6mvDxoYVEFV6b6tGte3bX5LlR15r0hwW/w01vUeocRuQ16ENkjeSRzi3O2bOFPRS3uWO+mAIu
KzgGSVKyN5OH2any2dCy4Ma4HKYfFKDfcaCJrBf6B45xTnXKmo9lJmPHwLA3IjglAbWcTeG3Ttz6
FPtEOY69iV68ekJ+L9ZmPJAU44WI4N5rCq6UYdARHvePcGNEFcv+teRx1eS/SNljKYmSF9vokOhw
NKzY5bdIuN0bAitz17W4dtpxQJ+RqgO4tzenECG3Al8jkseYPKXJN8Ev2cle3ATprquG8qZsSXVC
LHjRo6LkKDzajXVPRrb5PU+ZgTLCqgOyPfAV77kW3ql/xKpPBfF/ZBzkYvzuQvIKQtvD91xE7xWg
GKu31Zom6WnsCtTpVqRIEVmHsjzB/Dznpu1ipzXwQddqRzRzheuYWUlcDlgLItSqY1ifTX/x93FI
+36NMqVMHmQ16D1pyzVBoYJGu41Pbkx0o5dTCiIiuIZeSayGg+WgYIcYMEDhu1axyC410mpjrYpt
V1vhIWOjy69YV03jvvGzXl0tfa9dCEqGj9p+sgiw8sXJNxxnb4ZwUxXpsyAwoGS574i0Vk6W2Sth
Vvmxb9O9yoKW8VOE1btViM0dxMhwHTshnxjU/DWrGOZ2q+gUM3zPDmoVHWBlHY1fhQwmdkwcpUm7
x3MjacahAORBB5PznycrO8GJP9kmPN28nu64KAkpkcndJfGwwnMEafaGEkI+Dwz+0qQ7tQnpHQz8
EOrTx7ctoQMzhDe23S0vwOapKZm1eVk9oSYTaKUMWiPTS3b0wlb7JSI23TOjtCNpWjF7D33n6+Aj
wBd/seSU686wPuNUDRuxuGqa8lHV85ZGCtGaSELCmIgDFh7tDRgEwrD8jZ65uYlnxyjaM/tGYJ72
NCNCYaozaedBMRIomcT6WM5mjN9lQylCfxKigM478xyXn0M3HmnU8Y4YwX7BkTSdH1CcAyomdlwx
uS5RXxWvpkWMsMp5CmKlnjCtYWU3WE0jomIUofatRkQwQzpDmcRjTXwiK79Hm9AcY5y3kAgeoioh
4a/YWLp7RVlm7ESc7l2or0I25iascD+mEVPcuK/0zikdQtexBk0OauLAe6XKSsHjwNRGaMEnEFNH
lKYFK8LyqMwk3vVsZDSLcp2wklXuQ972lsEVOS6Vd6yVf4RhQKZg9Y3859LkRvHgNfGFrhesE6sw
ubjQUVui+m5xIY1wGIr8JsoW4WhrnXPFGTCEzJQkFJZ0wulWQ95ejw6J7L2NlWsagVh22Alasvl6
ht6cg5upyKJDmxW7fnAf0opmrVV+ShaRt69ikkb5JNgSOrCdx459gbXw/TIf14atjkaPRooFIaWS
m+CW89/Md9/N1KEfBv8QuMyX0P2Fs2KYFsWYqYforQ5B57HeDbdDOH1Sw0CaiAx47wg6Z2qghkSv
VRwuQ0eLF64g8a66/K/d98+Qt4adLaZXE4kEPXZkoqt6UAlg584e+XDM4QMUnL8VqYgB7ZTtdRrw
ZJF0LrfOoqWbecAmu51prEklGyRqSZHwvRyczrxowjAPwtLRNbeTM8HkMfIM1lh1XO4AnzK6mTNv
PcW0dAbZV/vMVbdo1PbBcYoYz0YDwYTjgSbCuFZolNfDDI/NDpE7lmRW2pEInsIQYFCHktbJo7c2
N19b883UuEvRvNB9J7tkyAzCakkVEhClRgsXwMi0L8tdebKaiDy4onwpGir4sobrT0ZiuAPRgsmJ
M3iT9eR9eSby0eAtiIYfY4wuToKZLMY+0BPJd4zdjAtkzsU5MepxSXCdb7YDuNRom7uBVSnXzU7v
Qz6cexM2d+wMGYhBne6bjYqa7Ah66E9U+pe6KJGvmA55S+63bs3w4DXhsx0PpD9NKZ5g9zCZoYQD
KN9NA1ts2eUPkvXtWpZWsRHzTLGRr9owO8wyey/y0KA6DReTsFMso4Z9EI07D57D3QFvx0Obotgi
JA/lvD9z1IqG8Qr6r2aXjnhEu8DieNN6PPiOmnamQE+PzjIyvHM8cHIAsEBrHTVAOiCT+6lat9Rk
sD3zTeqMnI5JTXedcDwOgTBoYwBaoCb6nTrKXBnzPNxzWgXlejhS+CU9RBVG56zcs2ifTNwVTWqI
TegKzhK3ODkDcUBJeerqgYkzDFDDJl2p9hzOPZbBoEZ8NG462fJNQRvWxx+FeXQ10+W2KXrcyjUm
eMKlFDTIo+fnwZYlwV9pkYiHRGVatXV6cRczX9qZnMuYybOIb3YOHk6kTr7tPVZ5PZ72EN4EM6y7
0cTdnlnuSwQYh3xuUurURKjY8i6Qc3OyVOjBqGBOiKUDciYQK/mibZIfQ83r9Yzg3UnaX2nFbTiQ
UgqL7EB+/d+lzq6r9m+WG3ioAdWtZAF5AMKv3HjBoRNIeg3HzneS9Ia5LcODPZiUcgXvgeO/2dVQ
rXLCQL0pwp9Q9nRs1vOkhnyrmTevp0A8pMZfEl6+xgrm8qKZIk1+L0px8/S5msZpD/c6K3rMtjFj
o8EnASvP97q2eZeE823QIW9hSR+9BCxeMzh3W0dPgoT5qK8zjNnDtx/Mf/1w3KeKdR+CcBcHfI5k
vaACz4tyoNXK1lDsSPQ0ubMgcUOMM5g4YmPlkpi/st44WFD5t1NnnTpBET4k1ZHMqnCfEFnKQP3V
aNCEtkOCPu2KSIpxJmtIzBZiG/RWsM5F9dRQ+myitryT2OXjE4ihg3lcwXWXr8xPoQEX5iS2baBl
wJBhvjUOE/9fHfCeW8hVbQy/G+a07EhLF+/SFLfHni0LaXnmU2cFAzkBRDs3+OByj12SzufjGCU/
tWnjiB7sfjt6MaFGk/HhS/STScdRWjtcRahcNKPqPmofa9Dwh9B3Lmnh3qLA6+4ZrrXQIq2u5MBY
+y+chnj7Y48LZ8Yy6KcAEFIWNVtP4pzoh9dwTPJNQwz5Ome1sbLrGtvcRFec9KDrapfNjN2NP1Nc
F3u3t29WS8yXZndg4wd7IPu3uVfMbyO5sAyNl4EHagtIjymqGH93nn8zHOuhQQFPihLothNMTz7W
qLAutqc4QcPhSRjmq98Wv0WtsFIsbpyO4ywEgsrAf1vL+rnO+PL42v9deFAQZPZqMF4mPbB7o4xh
x2lTOaD8hM7qYZwXgYe5f/SWC94/DqhwoUKO9w7GUaHMcM+29NugzRA2fLm4PCQOa7cQM1qd8aEi
rsIsPN07yV7cmhgENhLHn0k0uE2CBviBkIzCiEwG4Pj07EyxHXpXQ2IGs/PyFEG634+LftXycqpb
YXd76rZnIh1Js2qA1RTC2NZW+mkJtzx2JS7sRL0YgyMOUSue7UKjRNPhxhOj3rZZegLL3LD1a06x
WVqIzi4oQY1bdE28kpdDJO6WRT/s/nih83jWbkENYVYzwL5VarauLaKb0qdxZILdcNCl1wpTLtwF
d+GBVEdY33GodlFynuzFB+AbBzdmxi+sJbSCwPttvnworgJ7wBhqOayp4f1Uj5TfRYp4qFzHQwlQ
oz6L1sU3ylbTxJGRTtjTUYdjqiziaRcFJioLwu+2wxhv2UERwZDDbinFxXH9i0jsN2KE8dYsgjwA
sqseVw81SXChFzmiKMFmZxDazV+zBDMTziArVAFexRbOF6rxrWVk0anrgnVc4eSUxLKsZu67lU2H
t3jI0mwMN1llkGE/1B/MhKNViYbv4PcAksjkHX2CQxzguxis3eZvY6B0MvHL9BGu8Kho946nbxmE
a6nQA/fjTQ/Lqe/MHU0QVuM+CT8ixUeswpD93TAdhWfmR9R3WIKD7y7rrnODMbYax1NH1KnL0ipm
3LmyrfpdHwsUeJxl/p8U1kaponLr0OitCzbPvXaAmJXwg0lswJEW9GfgXfMqKZITrq957eUK4kxD
xJnbv3bzjX7x0PhLlMvCaDF779FV46nhuEIVb+jdXFd3liWcRyaVsGehvpdkA9exUe+qADE44nLc
6VzmRky8rcytp9YHjRRk+a80tcdNrAACpKn1nD8mgsep8JKvYGhZBJqPuF7kIXAWBX3of/YAMnYd
d1w41QM64QQ7KbLTua6zM5sF0ixxws2B+y3lcRDdl9/FhzzvXl3aECo1dUoKFsKa5e28aJj0sOka
vrEDV3zK9mNtiYLuUPxoGil6EzW3H8yL1Ko2J0wKpOOJGqUn5sLe8emKR9JC8AErE5N2i3su5lmi
0cLymJG22HPyIgJH/uRdDVJkVo5M7zyvAVFO+4JNLvCCzt43Bs6iJv47uQue3Mh+dKjeO7PqTtKX
f1HgnhDLEttsfaQB2Y/ZHGKVwzq5GoOAVIHSx8MUhHLnIGvQGWoDrfAusFtHwHvrY9CwlYO/3Heb
GNFX7SEuwXjYRSym0vTJi0byUufohBWGnqks+ztWj/U85piHMjKZpcCPM1KfoARce1iznuDo33Of
Tq6sZI89jGDpJDYBl/oh9biz6SMMciXQyQTkwIZHhsEEodqkMzqm/eItCdFDwQFQOxnbJZgGGYFX
bdoRPbtsYlMZH+WMx7HHoAo+5uQEw+/0wYa79yEoqtz4STCOQjJphpsq1s9di57Q0umxm0L8j5wM
0FiPWOwnUGysVQKid9cN8c7bvEEGXTbvkZU8ugGwncH3i52ULpYx5s1cdPrcByRIEt3OrZXlpxD7
Xzfz78zdb7Nq3uweygJQhI7ZXmUtX083/vEAzvfG/Mvp0BC5Ke+JjtHcv1XuxRShuZ8q4DtCdpxd
DWvU4O+YKRf3sf1RkmFcZMbAI18526jl2fOHtWDTj8rN2Do8VBePUauRcMyBLsHSlyD9j8sccXpn
sYofoDXUR77FAEQM/5OXgxe/HTe2VewLMBwrEM5bz7GOInV/ArhgODBX5rL7I4AcCT14YmqEAR0c
rw/D0sVagmLNiqcZu8/vueBAUnYrsV5zcVrTDzH25TqoxJOFAwalW/e30lST+NbJO/XkfsinkznO
1d7qTQOEde6wnWf9SgbFdpQGFkJxJUDg3JaZRYkX/EyR2PZ+n+0rfEurCiulSjkEPCJXHsl6t098
yzGxAc7zGS/cEMJcWoValIlOtw0CVKuMBhvZVyfdscFuFxFQkT+i/fgc6+oLzr1hvMERCUjBBXZj
5EhiwFGph95oFSdVeCMk9zXSjFGzkCRzXgQz8I8IlX7s+b+8avqMFmqYTsPX1H3rW0n5bsISyqS6
6FZhbhfVtrdNppFBfs3BT5iMc9ctfPMVRR7f1sH+VZd/0GgzXWnZFWjTWCYnm07Gr0lXYBsfUiAk
9Sc7X5aHeIYi3TCcxmG+jvqBpHJtPZat+VMxr9cO8mUrVw9Fsm+N+TL15lNch7sxLN4bR6KY7FJz
PbsREXHWASFYdESJvarygcshlyyoazY+bT6cHd6NFycDH6xlhgCNmVTvvmS8yqybvF2TANof4+ZL
j5L+gX07Ii46G22dBhHMZxDVJ65TToaBrXCqiMglHt2ElNabuQWji/LWstWjkbuPMk2PIUljq0pi
fSrc8caAAub4rLMNSl9WtPE1BfOM4YKrguNkLRkejdgZkk4++s9jYXXLdO3bNyz6lOlLJtNZc+jI
lEU/WpcgB3URBM/Df7F3JjuSK1t2/RWhxqJA0kgjOXgTd9J7jwiPPmJCRJPJvjX2U/2aPkyLtyCh
VIAGmmtwUa/y4b6Mhk47dvbea5NNbRbxkBvjoTa5/TOJit7aZ6xuqswmgC+bOwrrEywS6/tnaf6S
9A/akZorT3AhZe9ytI32bHJmGcK7rzLzW2rL84iNw8f4uJv4x1Y2MecECMlwR4vKzs6KvTYP1VNX
qhlvcjSQdb3L4wOWCzYvoFQSvfhLkyr4ZSUxrZu0MkVNfklcvtWxO7h1od87i/sRDtino1E3t5mC
EJJyfphsU55K+u0XNmt7QAOa5CeviTn2Q3KLx9m7Jzk2+lho6fao2vmRPKzG+yU6NCx+N5hF2Ayc
CSaX54FZfUoXuqXF/JAi/41Y1o+ZXrwsoe48uqX12NpRFORm99CwJD/llDJsaMop97Gz3HlFDCHT
dT5MHdd2W+GytYGallBFChdBZFDpx0jDCk42XiwRcedKnCkupABkfm7/IUzbLELkgDFZ8cNQvX6Q
Y/wUru5Or7XvHRrTFxIRl97q0fbBuXrg8juFDzUsvHQffbDxBwlQhewQ0Rr6bPqOreZvRdAOThF1
duH45rbKd2vxxy2HneeCM+obTKJLH99FwK992uSPaE3GZZm6D0fV1wyAaZBH0+cCkm1xRgYVaFUm
bl92GgYbT1S71mohf5rzwY2zCrrWdK8Ui5rCHve1AYcLZE64rkyfp9KLH+qJV8zEiX5gqa3rOggg
FrqPjTYh1VS+rVNVsWRn0FWrAItvpqdmzVcxkNs4CX20UdB3nPU5uWCoZEE7uwZH/SqvklDW7QjV
6QU33NeM5GH0xR8tdOAUEaTBJQNYPd7rOmHyQjBT1fm7dhRNEwVZ79j+4tIsXgw5q2ae1wG16/sJ
34tz1jJmuUqMpzJvgo4WnE1dJ+tsZHmckxMuTkbKkePN5zCiNC3J+ZlV4iPtL04fBXbcF7e6GLFm
4Xug9wLGXC4J6Lnx1SEUm/daG1QdaJO6q0XQN3Dks469pKH9LXsao/UZtDl5yjjH4Ihu2VwsTK1c
qayXUO/WyvrUPVhFQi1PjDlcSPNHNNoQJPls7jX4KfhiJ3Vv6A7yXpLCiDfcwDN6JjYFt4cVcjC0
9Avrmynnq6wlCu0yNsNR2NmXx/xuFO3eMLwpmFjK90PyNdgyYQfTrCpD+mayWt+MgryHGyZb3itY
8iL9ZwbDXqdG76uWthnG7UtjAxfTiXXt7LS6FvwU4cGLQ2d7zab1+E44qyg3DNd1QsE7MKPtqjKs
g4VQ38MyJxWc4JVxjwluOcN23+youRgt8NTWTO/RzzZ9HxWPna3fFS1vE1xkRNiy1ncHAyiMQ6u1
HCmLtEjmWzHmVMF3T6UxUnL03nR0b5JFpp2ZMLsd3RWzyzJdUxeul8kxiViB9Lr9MRo8wW0PBjEk
vNNk+RefHcc3e46U0RA3/AW/VtWYPKvlfcyXVfH8J6bZnsp+4RMusZIq6im1kgf8kyIttlQCiSBM
0p8yaWmbaxJeTGPEtgA0Hj4NyjW9mMesh0GG74KTx1FY4KxjadOrZ+H2TfNH5Io3r8ObFE+s3Jwl
wmHL9tFvDKL9sWZy2SlZ1sbUB8LXxwxZCcYkTul8I9oMwEri6jte+gfDEBdTTeoGxf6Pd2vje/zC
z2XC/QJy9SefBdqdneRJS5IQJiiddZN9gyjP/YVnVBgU/tCvxME16G8DAFBS8ixDI9QDLF8et4eK
fHenJFH8D2MsjZ1rZ+8weFlmeoxnsyA1SrjtXnrmO1oiBfWGfhF58tjbaR/0vc56yVzSUznrR1aM
84UEYs6ltW4QGEPxQHz14E7aB0Xa7OlRrbZmCc+Oi8RNZ4P9kFAAgkpH4WbCR4ms+t9kXD67ECfJ
6IpPaRb9RTok5ZKo/CLBbAfLhC8OSQckQ2ep48ghSa4Vrm/zs3huQkZvuJCYsDcolCRNa/Hu8WQo
K3+NWy6iibe2lBI2gQltQQSqfc1ykeSdXvdHye1A09Gjy2RaC0w/RHXsXVYVKj1J914lADm6Oo78
mCRToTW/pc4ollpNA2Unha1GkQlEjWmmrqQsN5nWcNDF5Mk5u0iPBHRtMtUiTedVTXKbKcazVBhk
LXfnkIQF16KJqQv7sjN1vpVy8XSoHXbzD7IF+jFvRLrvs/qpDTXk7RKrnd7jsq65e8bszDaNCsNt
bM7PcH+MLV9fkctm41U/bdQ/k1M09kw6RLZTphOrhI+5ePqTkkzZatCCIaHPpyDHgRpiTpusYJ+n
2+CcXFlhbJ7QwPNOe1la1o7NKIOJ3lE0+LgK8Kew5NiIsPuFm7gZ+wH8xshgVTdTEmRFW/lNx9pd
hjp7I7ftUCohE2a13JvTigbYI2HyVkk7HUtJ8jQ3/bLHc73nMmgeOArtgRwF3Vc+vbHn2b71XTEe
IFZw5FCpsNW6xQJAWS77ZU1SmF6vwwKKlp3hrYgNjVYcQyP7U9QHbSx/pgm3nNRmbxtZNXNvH1GW
aSOJz6V2ynQv21XUP7L5WZ0RFptHSjEgypT1j1cAzI6tYeVdYCgaZsU+2doZWBY2yphJAqzaI4Um
VmgxATv0lSLhDkpyn4twIoSW8UbzJ2gI/Ai7ZIryLWlVOlyyP500aIharFXf+w4XnsmpWm7gQnEx
dbZxnbL55nWQAodzTOUXIzAGgkQ+Jp74M4SZi45lnMzuVC4pTJpc63yyRxm6Y8N1HY/hvVs6vxh6
YAKHb4mm8VPrtZNbUz5Xzp21a/pj11K2AzhkAkS6DAh0Hj7BeJJ8a9H9bMKNxf8JYpipaCKriDD2
NaRgoXucnb7psG/AnbitV4Ec8gMsMsAwQFV81czfHgRLclLzVVuHknycLkup/UCAMgNHMHnF+MZm
BH5uldodvwIa5Y946QXqAD/7ZYD5RX0Kky3v5BLwimpo/KFSterGK8yF0PcGxNmsmL/BjL0NTjcE
JvzEuMbmX6VE/onc9IE5kXWIc4HdszPqDUoeKIHq1lrxxP6ugl9nwYPIV8/IgFGHVB4UMOKoyVSQ
UNZ2kNBVgDoErkGot5jTgAZyeC+TEOmtuFbbWbPqJ3thAZxFE3sO9ssTT0EGH7tDxRTYmlnDy/eo
QOXM6xYPwJKumUv7VJc4ZyKzp9Cs/4K6Ovrku2eeznYNiTBXqVz6s5fQsjuu4XuTnfajR177qWpe
plq7xEt8sfp0CWr8ZFF9P7uQmXqt/8vOqgmWsGYbLBi0s9TcpXP4W7RruskbX6AAsynC8dEgiwz1
wujiop6n2cwvJ+MKEcfvprTbs5Nz4lNTa+ssaTrb5Aks6e1uwEjNw6uRh92W6zAWW5h5mxSr/BF/
xMnZl4vOOBYtPKSJy4K4cx+VbKm2SwjVOBbBHiMJaFVSbAId3lO7JtYObdp6V/iWO03irYqj+jZ2
NQKVwaaHmwIbliol76fNK7dJboEkMBugQmoV3dINtLgNuio9fx6ctZqIEr4Jn20xsTNYMHr6mKYZ
E65lXE2pgbTnij4saRRgpd0NGP32iWPeBlDgbDCIESXxjA925b8156yn+LgVsFT73DnZsU0eY84f
G9OWPpDzr8QsZ6ok4kDPCsKao01VyxdeXBIwuf409t54QUc94quEJygBB3SCbUybLteF5Ol61MEv
4cU3a8zVIe32iixRRkw1qhgfcFSsMmU6BK4RYjrhfuXAOdjW60fIMtioaTbYl5AQklc4r+GoIAGF
IBJsrTpTvvBU19HfuXeybVWQLUmN2qFLAhcJv1g3NMdPXFo/mtZ+WQ0/ZL2kzBmeCaqOqL50TF+T
FYvAjGqcgfYfJbLOnyqTdFyYQ1kHt9HyEGWc92zyrasz/aVUjpTypCB1dxpKatXMuzbNLODX1Cks
sRezpzkN9lTd08lOTZPLL58epHwuHoHV7jMPWsGYfk+WMjijkuda4QtlXt3y3hh8koanxo5fwVCH
JMPvKH9h7JXp4NOQtzNTad2ZyCqbyEyM86gPTG1qsCmIMj/tYvJRcCkPrLxpOwoWy9SMbTtJ8oC3
8aaqEzCUVsvJK+sXs1mzKoX91Lf9wYmIvmHORI4VoxdkBjaXvqc/pyDhXFOmG0o8nlwh9hS5BcoU
3tYgOksiCTRwRotqXktxSvVbm/DbRIJmR1RHzj6W6tyYGrY3vkggD5BKEQc4fb2Mpt4YVZetfURz
p3VEzO3JIc/Zuef0o70k51npBc8BMbd0+qcYkT9b8MJiYp9829Itv+q+htG482x2/DHweuJiUTBI
VnvWWFZ+YUUvJdgyKU92WNX7gT4pP+nBbc6yDjSXyoGUlqleTkMAiwFFOoGKlgvzrofNXLsuZs9O
fMgmP9l4gLF+/cy6rgV6Me31knD/Gmpw5M6K9o3snljdlm+mwR4Zl6VyI3VUdJVjdtyZLhgGkiZv
PAEAkCi68pLpwYn638bJ0B50PT5OzrnmvXvlcqbBUSPxd8AlozMfjNe0dnjqqYelvcjekPnNiG1D
p0/kie8Cpdy1bNyXqNBddqF+fsNMQCWAK+41E33NsJILoLAV58tyPC8PYZR+p3DBWY1ae4qhmM5T
o9nITDDL1P5SO94xGVl8rnSwgQIKnKPcM7YtGyFfWc0UEELowRKkjKpoSbKdVFC12JNpVmNHXuU3
E4vZAuoCEmB9mPk8wLhds976dOrE3VCvDedWuYpazlfWVsxgC34FRF7u0iAVJIOSBqJc1xaIY17y
xYJ0PMftIznGwFax3HULqBg2ZofIsESg9RzjVhjh85Optwfa5M6xvXEK98GBwzY3E8+2YTUXkI7B
bF/DfHlo8jreL9IQWGm5V2NnIDsexScVC/icy/xCTqMNBmY0DlwzUzta0BLwEV911vFbiIfTyN57
L8KGFD/Cqa9qdNpOVhdztloS7ioL4CdP4G2HZHnKKw0ImoHdW5vVxtDGYddxpqfcxsDaWUWAuZZA
SUFjGDKrUymyQjzwC2P3tB5nlVb2z/WqRhL43oxG2vqMfzdaXln5sIJGekjOoRdrdzA4tYMYMPTZ
+XeXrSMpoIft5IUp4XOH5ZZFRrW2u8W3DA5o5GO/Zc7xSv2gtcOt8Jy/63+Rp+kELa3/M5nwmaIK
Nl1sjq/egjtkSVY0Qyb2S86BUWdYmfh8+27GoQGX26gE6f9h2ZfThGHG+UoNRgT21bAcShsTnZV3
vlxdQW7s3bEfhwEIsyOkUxGDr/Mm2zWdsRcyGd6NtFbr+4YS7pmYXkhRSAVPuiuseZNRCrZuyujP
IYueVHwfLkJGmfuajvC5zECHItzSmz7UX5NpcjZNw/0rgrYmZjpycdtbu8Hk05LU0TV3Vb4bDes5
THC40qQHxdgyz2zXKxyhpmC3YO8yxmbmS/gDUYHSAtecE/8Ee+dsufIpanVCcfIOutLq92rWJoL+
GGMuPeD94JsrIHtW5J78RnP3DM4OLsr8l8r2HE7gsZusHWlK7LXLNO3d8jC6QGQzr3c2hCpg9jjG
YSoHfS/SjrBMzYuiSSmST7lyRj2s2JWHxFzOC6LxvVhX59nozYPT2CdSXWjmDKCbuIXiG6NFTZ6Z
79qhe7KnGYA8/v+dsGd+JyQDqoasvRqGNzxYh4gLHN1NvCLmlr0tbIQasfYnK2VzbMzoNU/K9hby
3dmD8jW2yKQ1daQ81/syQ90kBj1wCBCoO6lQBDTPgqbDarHrzLsqc6ILj++ttDOTe7yUa83crhpL
k7w3CjLawg+9AFnAXZzKbymbK+MsVgjAvt1ILhbzCOqMx2Wjky7dmovld1itGxSZn5Si0qH47Lrc
3NtRiZKv3Xp+gz62z2XL5WX2+ayb0iVZy83WUcBf3AGej0c3ikcQF/fhkeo7tWmdYxEO9V1fDDBM
AcbsI0FDD1/9zpMVhW1F/sghlge1HIIZIqNc6lPshBv67t5bk5oH23U5yhoS8oLV7maCXuObefdK
OxImGVKDnCVAbVFNqh4TWW2bN0qEiSAMryai91uPZ8rx+qsgKO+vgzSrd/nWr/aApT1OXk/UXjkY
N0zzgF4B3UzRhBrqaC8jLHRsuR/cM371vK6P0KJUqpsvYYkInRRThgVl8b2+R4mOcRlwiDARWMTb
3GKRW+VVwJkhBm8mHVsxF8jLWKNEod1pJ1FmDgtQ76nU2mJbN0fudWSd2/EXwzOGsD4wZpelKSsh
0LA7czZJt2TjeRT2Q62V8DhZ7s7mM1lR/k41EUKjDnOzBnaYqlq4wkuHeWm1+Ixu9tDiPIZjyGdJ
svEobN5MHbbLCN5vl7W8SwUOLny+FDz1fig06yGFRHWcTJstQCh4UZXqSS/7t9b+AVXA+iKie7HK
vzKXPvbZoIM2U5fE81qQFhNrrGi+GlP0bejZJaziLOCm8E33AY+P1h+lmrI9ClHDionAepWxqyGp
6m4BBZPBMHGFZwavAlrQPvoBt2yIJV5WgvB9+lmBSNtmJA1w72G4JfQHDBcCAK+bKqWwjJo5AuCd
eW6Xl14QKNHCuGUVfTd2brEj6XFn6AaG9dL9k459vHdNrtHLgg0mNj1KGrX2LEekLwT4zhfVrzZT
dmrpdeLbLAzZ5tJJbectyPEcOkgyhfezEPUBachu1SvTknngHQiK08Vcz/EsWjXQLVRrnHI5d/Uk
iCMsmb2xPJv9mjcSE1IZUeEtnZ4/LLHsIIevma+Q96Zqv9C/geB6XzlQjdsILsAFDchRwmq377Pv
RQuxk2jxhz3d9Ngyjyy/icVw2HKkQKz16nuWp69SyHfTNO8Tt/lIiiZ7yiQM3JnP2F5liKLGWzQS
wQoTrkmhuzPrGDZw4tHhkOIf9+Z/Z1pMVy4OMdfWJJFXJ9TdrVcUzX5KqsG3ObhDuzg2bBn8KkoP
GSbxaVQ81RlZRZs9pd8tXnzgflbuwBWyHcOAilWsuyMILnxDn/GiuVQ3F6FI9o2Yeu431JSx72QB
OyiTDzyx1hzyF4lxNsgL1ndSI9NerSsObwEcGM3C9rmf8FTlJsY+a1x93PiAJ0eB/NAI09b2t8wt
GWglYdQxRiRrPPJXhk2TRwkkNsnYnGeWxV2xIcJZUreFbYFFWLP8hq0wuFQqNFpP3xtdfm/B4UUU
1NvrMp6oTFk4Scn6wAEsYgWPf/18uJBW5FiucWxMDxo4DDGRWyqNvtqNc4U16dsEsLdX0DUglKt0
a8Ne21o162RhlHdRSLzVzvBJ9c6lmkR1BnO1dqKM6EzNfii43MceyWwI9t4RTPMOXZNP0zRA6q/T
v6DPyv3Q29nFXprwDH7HHhPnvmudt8aEx9LIJtn10XqzUzw4aUqlckQ2Sk7JE2cKf4J7v+tBteST
KGCpxGwzKbfvapvKFdB34t5gwQStVfpQFYpDu+6UrOrJbdwFR0Lxa/OQ2i6lGKXhce27n2cjf4g0
cgGhiaHMAKSfJA+OPkItlt6nWin/XgwL2bRRS/pXQ7YPU66rU+SQGIj0+ofOvGaThs4TaIDDIrM0
0EeQJt7i5cEUggrJIc9tLBd77qzbvzqn9ziyKZgbjhdLL/iJaRBKSiMqrs6vZdc0ckkS5Egwe8bx
arHCK8fYUnn9KbQwGeZzs2YtMPLq+gU4hAEDfWx4aVQ71pLtCSruKTO4qmMTxWxMBzb8wbHYNPb0
IdycLFHDXjWucLF382QccspQ6JjzTqX2q8NvYxRFi3ZWHBdlaxCRG8Z5eDvEIoeHXnj5oZxzqrfS
zwLR9Vlfjm3u3AoR06kCcyml8z4N+RWbXkU3Fy45sjCo/VgdDx0tVxxd1AeFUzVfogE9sPQmnaii
jphP01ujA8iaIwgsxloXtuqpqYLn1xMxO3hhCYqvOLAS6S456uzBnMOfKJVb/FKIqmL6jRohaQsb
seYK3OJyWt3tLa563YlKSrHUXUUJIaLYMFxbG5JunqPaGANRLrfRr6YxXRnAX6I2eahrXLc6W6pt
1zhrjoTC2KKvHpqkuFqdiysACi8uBmcPXQ3a3ezPUjtLrGKEuJihprVVo/XiC3c0JtSIiHdXW9Bq
9erAIdVs/39u+fdf/ybIDP/f+143/+O/59FX+58qX9d/5383vkqdZKxL9tgwTZ068X9PLZsm+WMD
KXDlaxFgNuha/V+pZeu/mYaDfmtzffCYU4g6cyHu4n/9m2WsBbI6CpNlCddypPx/SS3zVf0fle7W
P4WyDkefLri0WTTL1j9fj0kZqX/9m/FfoR70pcnbEPOv+HR17zFL2MK5Tnf5Dz+Shyqfo6r8L5wd
D3ixO/5VwXf0n/8q7KLS5ZJh2aaAfbe2y/+Hv4oW1rnux3HczsyYlGSW/fgLzKv3eQsyENc/TJF/
MYNxk9PLPyNr7gKYLTx5zDGd1zxobXqNE7kqUYazxVvzFi10PUwtxyw84H9O8InuozrkanFPmnJh
BgK4Pa9QuFY+SoWpThbe/RgthPhY+Omj8a4SotqlTFjQhhjH2D42A9mDDIstyA4B0vOGx4JRuHJ/
FlhAuA84tvTnTOg3BotzrRl3uZq7oxRkfIqs/03oFCW5Y+3qnLxfil6mpPgRw2QQuc4tPOwTqQtN
rnuHgzJzsSmAyoN9ki+5Y64ntEt/rTSwUkfzsRHje9kM+4TTH364zbaMtFaXE8OqyYv32Uet23+z
0L5XpAA3acYJbofvpUuyBPQq4c4pWrboPeyeiYnJSr/06fxYqfoLHN1p1M6YRGH9FhhxoD/f6zQI
JGySTOeXTCLT1bfpeWIr8IRsPO6ca7pmzrG8//NvoLlf85GK3vWLagXJy8RIPkFfVBh0sTRaJK+4
Zph6e7/M7VFG4mt0WM/J8lhoqUXSGRNsTpGUvMIqQmzOU9CYVfEHIZCBWNMfOq55jBS48+T0PtIX
R4/L8tESofERs3/aoXhVGNmI/6OGtIlDrLthjvLE/ioLpjMns2DoYMbSxgz5PmOZqeIROBHbx4kk
kF/DrpYM/LFXMZVq4Rur5I0o0L/4PJJVL6otfwlnhJ2N/jy/aF73DoCTzO2QYG8o6HmjYyGpQVy2
c4nwzhbNWsa/RqcdF1XAAZP09aYkBQhd+yIhytdr3TecsE3F8ncjEPp9B/VbFG3ALY8/Frjv8pli
45K1ZDUi+3O6wWVeXpoUf1OncauiD05y6cUUEEFfRXFNeichoIX9v/HqE4gLNGvDi6DWnEzJ/Spt
s1+aFNTmwSpKCqz4f021tunYL3XdJL5nkODtnPLCb3HCKE3AtraZTTgk6BVB+9Y4I6MpOTo5uB0w
MZmST1pbvg9e9KL45ZhdfqS/9JyzSiimfG/HBnJN1rH56PW/TuveGY36azvqaUo4h8gY4EGro4aT
j3g0wiM+gjqI4vhk8YemRbikZmyyZPdbTXywM3pAdcV/AGET8kjsa5MjNiw7DG5MY8MIF7ZRNi7b
7AaC+F7NZHHwoPyanborh+Y8NXlyLQYwsyk3odQmWLQYjL0TZUYYTQnW1jmWFMWTXDIwYFZNQS6M
46PdDTsxutsSn/J2GIaWu8L4hXxek0WpZyw8dgILp35hEv0LPR7zDxOCXjGfZ2lcbmUY/jFp8diI
EQhexP53plawS2BtYuWauAaDl+ZiR1zQI+s/GuobU8hLlWL2Tcd23zvljXferRrqo7D0s/B+AMgg
FmQgDRDUDyzP77mx7I3lKdTHT6+n90Wo5QaI+mEAS9R6N+FZ1xlOXlPjZ4m0tSUqIQxkSoylbZVu
l9reUySzxxCBZ4sbhJKwKcbS+8GbKig/kuUWR8sT0RbW0dSyymbmKU17hfaLW4QIFte0tdKC7BpS
aG/54wSoUfOGPTsHGkBG15c9fVMs8K86id9KakTXSZkD/ChBal170E5u5G3T8NMW/Qns/0M67GU8
3QBdv2HTvdTW8FLGMyvmbo+dMKi9KNCHHlgTq1AjUI57bJcpkF3kj4I1UNg/ZBXCqFOf8GMB36PP
RQ8/bHLvE3B1CoZ2uj59N12JHleQamUHp6fewXM9fOKJ31kHl6ks5c6AIxcSJeDkAAcPER+yDFvH
QTBZGt42stuTOYkCrA/3Je9+Xr3xuY/BdLkceCnJTCEBUsZLTVQoxxouvktt1DFO7GOPVWtfAgZK
vSvIiXuFK44k3glQGand/WBEVyAVexkS3eZDmYnluWq7fVWFPksKTs6OmFyT6z8TpIUuo0I3VkSt
xa8iLcgSWft1F16EcyHv6YMamvRO09PDPEJ+VQLPg23cVVR5b7S6/TUH9xRn3mfRfelzjllva7ok
yzLCM0QRMaJCqrNLWvnUQWiADuapvoO489sTntc170FV9YdszVcsc48NCQtzWN4itkWcQ/BSPobO
w+y2HiT1XoG2rs038y7s3NVORxCkT97MZKK+Vo2/I5uFYcEj4ZgvrGQD5OnBoSB0TLmTamTXQInU
xrdh9Lc8fplaWnu9/h7YKKMuOCx2L13MP0SS9SJ/wGx4VTRnhOs2ITX1E0y+X1z+/tKU10yGjy3B
yya/U5b3SLozAJaLP4YNf+9Xa3FGbUOATM4SO059AhxCxUTifRh990QiKnUapnqoJE7VvZuLfR6m
1tyWsAnoAIwTtV+wBbV2vbf65FI70Vfj2F+mrfNr11H7ubF3zWGO052S7q5V3nNpNtclg9GJRfa1
d+mgWcwvbBkX8NufLh4qKBDGa7m8V6X5qU3lHzEBpiqm9fTZ5l37aLfciNOErtgW8ERaZzs3tgIr
zV5iJZ+78eC1xqPo1YMWk9iy6pvr3FUieo5G7xvmU8eyHKBqBpGp1IFSWZiAl7PFWhYUpXHjuNzn
ytpFlnMxw/rHLiNqlCrv22i8y68HUiYWmuReKQ4prg4NA5OpXyVlYAsjIOdmGtjt/Bm6828cxhfd
1v4gHFEJQR4YIepmMgQNM5bDKJuxkM+gBmPCfO7aFCeRnhXOiig9xtyt83I4RHm8q9RzVRP4ydD0
KFkgQFXLK9fZdy+yviytvi3tsJ9HIq6Lpvm5VuIcjyDH8xqcvPKcGzU91OWpaSQFT+rquPG9im0f
muVbG9+K6HOg/xDS6gVU8xMgs3OiXGwl8mDr9XtNOjtGoxmz/pK0IWk6Kd6tjmK1dRxBDKwS97Ay
63Bl4eHhHYOGy9TX9uc2y26ueIma8UWNBCMNGMkC7BkrvU8e84hPnP5mFFWMEIVT31CjzyKOM2xL
Ze3VMp0PY0G1JMeGw+mME+M4Wstr1eKLNFuBIxmJ03F9CFgAIOZrZf8jGZ+gF21RfU7WjKlUjMQi
k8tK3cEfg7c8Mt1rhMgKaI1TBZMcZ/ejSRu2VnxZfXg0reneFrCUXbFbInVaP54liP+yMBnHaTnV
hnuHQF5u6Ad2A0Gby5di9UFi2h/K6cPRo/1Yaz/QaCg9qqwHa6Q/hxjv+g8ooXfXW8eRGdGN+L+0
93qU4oWA5Krma72QXuNN207vdNWa/DBNezmVmfduTCXJevEwCoq9YBDBD/OzOXvoLeofUe+ouXs2
HHL6GkHwdZGuQIOl2jGCgVsZ4007LzgUF+NnmfudZxC/NLeJOd+B9wnCfQNmIszFR15wljnVzR2I
jcOe91jWuZ+WroLcm+9wYwbVUr32Nd9+iL4nhJ9nCiijJCRi37cT/zbwQozaW4e6dUTOI0i+oKZx
CFNDJZNgqblskJUE2Cr0LKAiAY8ACrwdB723NganV+g2x14H0jkSYrJxgoUXyyH2OHWn9f+aciaw
VOKYBgdkU8PdFzu2l6eh0q8FKfh5FkR3K3Re57p+cS3Pb29T3m6U275IN5oqTuufk1qYq8SfivxU
JMaDW9nnVgyv62/BZWLQ8PAjcvh1MyIi0YRjewfH+jWL+FnVYueSlAircFuZ0x7ysY9BeDcKqqMt
5y6MccpNyW3SKPIxWcZHTBH1YxuNuOTZhr8mKjphwbnKxnnNNe2BR3K3euciGgaMut7DoT95Jt5Z
2lAasMvulPzyejp4ft57wUq7kTGUef5XVK4+5zH6yyNl1tY+b/qDGlrIOg61mwtKFU6mkOgES5uN
69XfjjdvG4CtopXXnHGvbb6yXWSOO5aZRKweXewcdR0HjHm4Pob7MUaH0NstIX+/5YcOE2arCJwi
cu9oyb0zs5PRoa3xSxYDrlnmzfXvXJwSCZTfsTdiOFCSVyQXMAVEAXcrhhzvpvJlvxY1EiHYZeOy
VzU+UR4bQqG7chA+C+XZQjS3qhtC1UGj+GqikCVHWUHg4EAK6cj5dabqaFOLU+KxWLhM8DMUeLHd
h45/PxTVLpt7P27KYAaA1AO4CTnh+/UWTJNuOOMSdaaz1+N1BtjAnoAALQKnIrYak+LVp0vHvMXd
8Opgycri5JVyEJI7NU0m1n1vyisgJt+wrF2ZJ0cWl8G6g+7FdNYou5lw1eUA9OOOxkOd/CGaGCfD
RQ+RTZsdogsobVihqbpWdNbm9FWxePQ1PvhxgtzNk1NQEbQIDYjYq7VQ7D290yGzM7oPEE16u+G4
puzPCYopOfd2eYC2hN9ce7AtRm2Dxz736OIcL+vz7Kxwar5CrycjW0UHUcG1T7xgoQuBckK3jXZz
RCIs9dZN7MYc5qs3ufSpt7sB122u7aKhOmTheM2Itrs1uYxZXiUvzG5l1rTOnqKSXdw798BxAcj5
TZIdlebdSqyUqAgEfsG5gUkI2O7d3CQ/DkZ1ZHFHvSe1usre0gd1ZGG0C3HGhL04yrYluIOhEEXI
oxx84PYDvzkga0HhEWRv3mcGV9wRG5EKjR2K/y5sv1MMcbOhTpnjBOsPgm3NDhnx8D8ZO7Pdxpk1
y77KQd2zmmOQLHQfoEXNki1blqe8ITwG5yE48+l7MatQQFUDjb74cZDHmbZFUcFv2HttINwM971t
4bOnJbzqtSoN0jf+iD4/FlGEpjYNlm8VudMeMSb87IZz0t1Zqb6rhjSIhNwLq7pm1gtxYbvlLKzt
+KSM9riwdk0HFKYd4z/xHjHOv3nAXDB/nFCqP4etXzAtd59HHMeN9O7NRru2mrmzrR1rK5CsTQKG
lkLRtK3+EBFjOIxo5ya0IYKQ8Uzh/y0gelTiBRwuFqap/IHEDY0tJmm5E9/2ADC7qm+lDe8jIzZ5
PU9LRRuCFmgS7DhF/+fv11xjMhfdYhyUgx6k441PlxmUM5KOnidCTdT5ljiPhvBuNP6L5dAbrBep
/VYmlu/MsxkPGbByiZUBwZAXiIKUdi2G+SVDoo7+kZ6v8a8MaH5nEj6N4oxNgRm7h7fSmEnEjmml
gilGTjPzm6qd488vRTkT3m5AJqrjZuPSniQOuX8y0k44BLUg95naEeOCVH7i+4x9f1Gatxls1FSu
rggHGPqd7pMkkepqi3sW1rD+ZDTlL/TOZcDPbq6cQCBbmfljtLTnE8S5VQe8bqXx0cRYzNGmy6uM
OJka47ea8p+ZOR3SGg0CO4P8YHKtQ621H0pbT4yEYjjSq7jITB6kITRuiUpUDT2zkgKZiuhZ0rqL
odbsOUvYhQK4y7GwSIODLCyn7OLk7Wl5T10z4llmZT+RyfvvDO7VENlPmWh8BmdmRjjhfq1e26qI
VzIrLlRWRgfVj7913V16zNnMBwQaY3JClvMi5of7z12vXagBAb5xeaXEbtnW8ZuLiCjAniJxd1kv
dhTyy9O/DdYff8Ji6/Lb2OkPILtLbfkAENkEr1wEy/B0dqXefrQLM0VjvsJgKLxJ21xs0RtfEnKl
Wy13oxHf5+m9bunVaQQ0v9UWkn9zRUpjMiuQX62Y1Vbp+bVILoKCaSU7xHo1Vxsv+l7XSVX3eQiI
JD4y0S32I+KQADczvtzJQ6vbETTt4ttNcL+YCa4xOoRqpNdzeXFMCVdDr2OJh5vAwIwLZcutMdOR
OV0Vb7Qh2oppwvc1vLENMUkSZzFhYmAKHkNQOzRswN/qRP4OEuC8znkeuHXx2GvPU6r5h6ZNX5Tm
FEetviv5BO1Ka2Ky0CORI0vQDKQh3jT8cwy+/PqEkmKdRB8Qpivs8ryCKsfoBznspHWsUVv16cVk
KDe8+76qdwOL5A1peQqQwJDmdyyQS+Dx2ASoMG6leLClQCUdaliLLANwBWsgdqokHvjV1pri3wkZ
k9W6j1pOjdP49sF2Wel2zrwi8yPe6R4R9UOZfNekG2L4d55Ra/CSR8ZvtUw2jIY/J0f74zVbD2tI
MEd4573lkuqFdo2jeYlGoLRvuWQtdRI6r20Ea2zjtmSSO5I43BCc1HoRUtN+kTIOj3+tbZvaxRTE
nzO9NTdzxz9HJ0FQ0zDtiyXsGYHZFFg52fIo8N6EWblH41KMBiJxkCPsfQs+cND4ENEnPFM9p0cM
QCFVM1fLNXn4+9YSWZMj73UPC6dtXdfVj1YVP5XZX6oScbJRcRnaRL7HGG8OltJgL+hpeGpgbApS
u9h+MqpEIXE0VfKlA8HJqXNGyVm6nEpIkuAUyYSMZfTotWe/pY7h3ufoYJeTecRSr6moDfQmu8ta
FKaVd8TLNl/CPHGP4EWupZN85AXSCQRX0Vp6bR6MmHNRixgm8pqZqukxiuw/jsPQVXnpyeJzLG3s
B2mGbHb5KV3LiVBO4k+iKvbt1b2GvCLAhi4DBB3BHBd3aFHPRJ5TNhD4sgl/w4UHg+a5Xzdl8oQb
28RI6hMG4PeXjNXavv5qjZlwpdpAvE4pEfPNEoejDwMm+3Revo8/cj3ZHSScQv2pYJ9hn+UgMiU3
l20st0cZoUFeaJ5zwcHSuhkTSAETx2OWmcFv6fvsSypOKCPtd30/nnpPP0JXzAKzU+s2yn86HR+y
PXAlOnJA03mTFXyK0QhuzchbfI160MV2sS9bxdZ2mQqK8IkxBw+ylq4IGMlu8D2yEXLnHoWStXNa
vGBzskjt2mup+EUmxjHDVONv9O01kVMgXv3lTm3KY9L592FP7WAV40/kAXjWdJ0FaM+RZUlWysBi
SDrpefiLfe9jov57eAgvPk+IBoyay4TTqyPoINnZoMP6zOPE4+Njz/r9mKV3rRwubuldnVTwzND5
2BE+VAS5NT7yfqSkJ7iCale+0NtTdxS89+GEw2YaZXWPInDyAYd3rYm1nvj5mNn+AekSGUEBG1Nr
q0N1R6rl/vjEDfU4WLfoTV0amPFzWXvN0M6INNBhmTr4h3zCb9cFmojQRWivWfQqcqGNeJPa6myl
mjix3/1+uCE1fxsQXW+hpFG8kqAVl9HNZyG/7oHNHnN3MYVg0mOa0XyAjh7XibqhpSVfYCAQZhYj
yZ7zF7pA1imi+GkqlDT1ZO0mmxsFTRgTicl9nXP2P2PPLrpyKVlKxl/oxDBpad5rKcU2QRLaDRzS
y21ij9PFwRlK28aNbFq8/W2rY9CoovtOS29ictGU6+DVfUxN7aRi1uLNTqbmZWSLuc+T/Dprn04J
c9OwRx+dtD0eHUcH/xDn5SbrbDbSA5LR1gANQaryfuhukAnUGeT5q92m9k7NxptmZQ3kOKykENMT
lmrdW7Zoc4VaSEWq+QxZTu8MVqbodN3HtpL6mUukn+PYfbWl9TQMTFcXqeRuztli+xahfvEUuWyx
GeolEdDttD9MDEc2aKsZpQ5UwtVkpVvYLOOjP+T+pmExtwZns24rA022GXePRp/jcfMYAxSUmmZk
MBHxcZJo6KJrlXeBRKED0iL9zqIO3K6V3pVd9qbPvfVQ5Dd3HskFJnN5XcRwlSy6JbBQ9lHpX44L
PtnyW247GxFBjCS1llG6Hr12zaYyxyS2QHb6jp6nQSbdY/5mbrnKIc092nF0ascGdrqLLMZ0unGN
OfzmYxrfU4995Ol0Z8csCZxFBFLXBHHTmb2MJQ/PqFX93tDbazTRJmu9wSx5LGhjYzr4MowAnXIB
hRweE6LbMM+jeGhd58uz6DtmaEcYuPaqZ9oUltCDmnpc1DJ2kOaSH+XU3GhA62Zhi70+yAfTsS+i
tt/GFHhNAnw5MJR1Qy4PfYhiSS3mlrSGdRi7+2oK41NvszgTLbnzOPISaMiZ+UeaVrjNOmM7zNUM
m2vmLaIVG7Lntmc2NlUtEdJwAz1/andW+5HMhnG2OlaJtjZvw7i/h7PNtihEKKcXtJzZyD5EFdaL
8rcRE0i8Ofs+rUDLNjwwTEc7aS8R455APiMaitdXORMd3VFzYCwutAAVB9cKc3svy+WTsJHm+E4d
NA31Hy2LH6aqp5DD7LgxIBT1Zfvs+MSURP2zB+1kk2r6q9WoPqB75BRK5zd/NMR2YRgQf0QAhTYu
KFJ9rTnZh2GyGYrQh4ET+gid2YRSWzEjiNo3Sw3mJmI014ckgpOeg2I2w7ugam4IxJJbCDMq6FG+
+tgkOUc6ljQKfLUpoS7k9ryj61l22RSlM3PUQfHojLX0SIGJBNLkLGIEHrQN+mGPM6jXXVafgCjX
cbuuyF6EI2RamCkb7gaTcA1dG99C9PwYyVu0Ql1yp7FLL3FOsb+u3/VIWCcCEAvWAty9WiUhINKY
zVhe7pLm3LflfGZwioaMiBxSXZ210X2nAtVtXpEB6HELcjOpPZ7AD4crK+w03Ze+LVaek+Ona71d
rcY7Hj3RHngs2h8qVgFYiOPDOlg5mDRdRuuBRJqgic1Dpc8lQQ6MJ92S/R9AK7waRoskcXyrUJIt
ebJNMCctewI8llNFNVAxRtWTepMpiBuh/zMbGY9YAqtQ3XzKnhR3r1z2XOSmggzDn0X8CU3Eyayo
0Rq9PWVm88jmpTyM+S8Jke9sp9PlzYBeVJhPVWfILTtEmvS2/Jz8O1yHZCz5hrWp6+TBSPruLA8p
SbvHOJzOACqW1LgYDB3jwLbSUSRrzmvrVcY6MY+Dws1p2VkdyC4BO6gwWGyAsBd3it5us8T4GmgH
S+qedZRSK0BCOvh2dFU1vDJatn0Z5e3jWCWfxYyhTpvqhYls7Ur4qWt3BiUApZBNr4DebjFvdwf+
gixNn+10AT7IhwftZPNrPD3hoRPrusQOX9SuHQw9dqdqump1MUKAyMRWS/fmAqm3XUI/p2m0kC/r
7CjJii5seXSdFOYnSv4tLzynYwE7D0EdKqZ76lBBuzz5SLhqqIIWW2tV6+sE12NoSfsunJOrdK2L
75Lv0jXQ13EeHZzavUURQ+chHTEA+do5rkqXtDc+C96oNogOMHGieQ9QXkC8gZU0mw4hDvILRA84
bDHivypfeIyKjQlsV689BhJ1DZr5dWoNbC0EW73U+vBqytzY4CwWQFrwdkhgepzl07zFpf3ed7m2
n2YOdS9FR8+ZCBmE47KH7x/CbA2Yj935dX/qJMXHSHQFr1zfCCTCfAAdzDzhveexp2s0BPEVZkv6
eNrKzHRhpMfzORQjP84DgJmT97lGuH6rC0EsWo9IFNHmJRR4gusFsJBrMasINZ6apAsMo17Il+wQ
WSicjWib+HlDslrDqL1i1q+qGCtEspFWjgPcLe59ZhibghmrnejPZgPKMEakv8Z+TK0SqWfNSiWS
aZrUcYADgNkHATw6PKLWYp4DPLJsReT0qEG2DNON8nJxHOcGn7Zio8E8qdlmCRryzOEB3+oO6iOp
b5SmJMkIZr4zDcazUwOMtvJ5ohMZiLa8Zq1km6u5TCJk6RJ5XCuPIuRZwed8mXOFUIDIkqZ7JvSy
sE+1MpGGot6MGNCtw/GBtRrqXnc4FC4ZqVp7wCIm12Gfq5XXwkRRGLRXJMu9O8b4kDnyxjQSQVGT
OShyTbBOMNajAaWQmsGoUMLdDU7x6EtiqfGmJ2fTrPbA/mbWkmStkQnRLtVxmeiAcmBgrrLI77YA
tdinkojKGLaCXoAwlCnGJ2Y5kPkwsDzN/CZyjmd54dN/UbHTdJGWS8wgHHmzdBhTTIvEd1vE9nDn
+OWz31jnwZD9vVOXwQB3/AnRK52F3JI3zKQnZG9Bnhbo3OouNufx2vvaDZYPtvuJdaq9HSFK+Vh1
YGGkeycpzkI0N4pmvCt/XCU4guZ7L5r5lfT0NYMGNGZmdbaNEt+eQHyEd2VdVd1PLMmLzpPxo0dq
1NtL4A6pfQCb3BU52DYwBnwP7L9wpMbxppiuqu+rjdU4X5FlPCSzv6Myd7I34i7GrdPhjnKNAg8S
iqexBg/pVlDpXLclfQA+C5+Nq4WEapXbENoF0ncf1da6HiNW+CimR4r1XTbCLuSB92T6FDtGj9Ss
R74cwnGFmFOReDXwb4qSlGCpYTGSKRoqqva8dLOgodGGocl4waYIctUJR/Mh1x3/IknUK9Pe3zY9
0EHfS77sDn21P6Ewz9NbN4PcnDR9gSUC+hRM1lax1zNJ9pxTYROu0fsnfKXu2tIIsOqQDQS2592P
SX3BT061LZ0DYZTfZVLXe4WwFHd4qnazFX/V5Nr3FVWNy9Xk+GTCVJrIiKx44kr4QMV8hiZLgEfk
RuHBbhGRcpyygCLTosn8Nzmj2TLd/jGJvfqoZ+2P9Kps40d2s26J62N6ct/NpFZ73JNQVxq3Kzaz
Mb3qQNGVYYGGahwsSmI4CYw/lp5TKXrZg625IYYB6seB0W8uoo3XVu4WWfvaR9hxECikFZmXpWnz
60bG8zwASVJauNZICKQ/Jnrcj+DPepE4GuTOwarxrR4N7yKkhY7wCEd65TqMoykBrX1YEmLbNhRP
8+yD3CfrD+PH72ASKOvVXw0Wmr5lZbAoWzi9SM8s4UhgEkkmqUCXYY3X5LBVxUsVK7aX3XAgnvIw
wy3bDSU2fX3jOazpbaRS1Mxoaz2Vhbu+Bh0hNCjXk+0dpllnO+G7w0qN5GeikQ5ZbdD7ZykDHM8N
iLS9VnW7SUvQiZZHNOI4FVuUFiZD4pBRYmT9GXO8unYlX7I+OmWt6ZyHPP1xUWyusyl01nEpn60W
L2XqJRWgJPFk1j8oL4sjhydGnXpPdMC1qSJOTcjdG6aiePbsZJO7SIZoCtcZ5zOQrMLeZCy6Kijq
G5X6z44tHiCkIMpTPJBTXx3gF/dc67zfqRY4tvc5Fq5+lIauY2GhY3V/uySidS4c9tFzdNBbhyxS
KGR7QqxODtsxi6ixToFoDD0qPrcswEDUCx1pjh4jOEMrQy348hocuYzAsjh/zZpr2+NxxKat3yr5
nuPn0CkDs6iyweMYYrnWAu16u03MD+aD00a5ukV+nDJOU+K/VYt/xKddX8wG7z0xAjgsGcgLzJgC
Y0MQ+e8p/elOxF28hhCP0TvuoPnm+soIEV3FlvPLwvRBOCyr0PoBxCNMwkoPDEE2NfHQzhiTT2sw
AjL4UfA1ofE1Ea4xKKkzk4tlhjFS+/EcB9++n0tUJ46LdIFpeZDq2UbvPAf0ePFgsZyqhfkNHzyH
qwUhoKwemf+S9WDq4IxrGg/tPcyyBo0hpgaU6jeBBpB29QIc6MuS3gu5QxenCX/gms1m+T5qKIPI
03zSBNGKxM82lNzeqbRwGCiKUCoPJgCSeDJ3vnIi9QfiOHdODFKJbxLCkyT9ZqP0iacBvdfs3rtE
+Ca0IahA6Wd1bCNh11j7HksdKzvtZMJf2hQ2n38gIjPHXBdvjV5jSwv0Gaz1pNcwLMJxi36qXw0e
u/XI//vTpt79ypUY1xkLCdJGgkK2X7CpUUMCsJ0pC9rQROlOZoju5+EKxCNvJI9Ey4ekDAuSRzzL
y9xZst0Kl5649gM35Edyp250rQaIXhhvBXFqWj1d+yLmga2R6A7xfEVcCvDDhgRXLG4u41PiZxN8
fzTVWhBSGmJXasliCyvMnzeZkKfXyNRAW0LXX0nGs6OPz8/48CxnMUv0p2nqeILLusG9uDiNdaQT
Na82JVdhCNGPxRhomalDxNIgPIyGv561iggyLfxk625tBvrcbdXo29SjtDDirxwcLXF27pUZxZm+
g1EnSL10KF45rvZowX4pNGvKQgEeD5cLtImx523XI3bAUDEawiw94pShtJ8tsM+wxm16vCrEw0Ju
8jhG686DwuPExEKFEiXfADN9NlAdcmud2pqOyYprsQFmgRt6ynZ9Fgc0CUwdE9kEQ0EQhc6hgHZp
NflMmxhy7PU+e6bQfEp990/UIKByk/qtJas7EAAfWaGtZ5DuAZ7PRaQ6PvQ1ZbPVHVIM/uiDYKN0
Ngoi2eDSMLCfATQ5GPn4rLfaV8LSBdpowzUmb0+mIfJth1dZ0wq2U/HIdAhaWIUx3EXzLL+VYP5S
tTbRDzJ+bxymPtPMR5dmcTdWQ0TD7z2QIONuXFAMK2BALw56S2yBhFuEjcOGYLqUwnqpuolS7HHK
GYvmIXA4NZQioJvedC2JHLP/1iX+etIHjkaPOWFLuohvGWDpBtR9+myZdKIuaQykT4uqO8OH4skY
kgNdJMW3PSFIRKtzsxt5MknfbawMAVReIZrwUaEvOC/BrJfpgwaqgHclsonvmoy1m04fok+fERhh
Oko3larvCvJx1tiz38wUpd0o0bsL7yPSqI3C2TiEHTgfBny5cO9AIn/D09GyV5H7fwjxfFZ2t0JX
9z0BhgkYEr2iY4pQpKOfS7iFcCC/uj3jRvqmkWZgzoPa/xzmejvlYFL83sf9Au8sSH4rJKYbvQrf
p4GlA8xE0SVXE7M+jCugNYNXn2pkqhLvWsAW+d5DAEIOCC5joGyhBiJchxqcw4amJWxXZm28kh3+
VvX626ATwWW0n04FaBJjUCWoMabl/6zobGfVvkgHEQ/79VNYozozKz4dXgXCYGYwzMeYp62eWijQ
1bcnjAP+YPzH0LUrWFfl8jvoS5ZAkR37MUTWlTRbsgeQKTCuJ9R59pjctTW6DUV029ixUkf8IQND
73jo0RPmZfHKtukW6dMJ0zctgGbtaVOpKKPoqmuU4RgSELCIBzyMCXL69N7VzLvOLg6hLb8sD52O
/BYdzoQuSm85bls27nC2YuvTnWrkkLp8GXScg4093eNMfy0Wgm/jMOOZfPNgm320bgxrWg0PYhHY
pGAeV3UOw1LW5pPQy3XTQ70Q0PKEFb8qrX4jRl6sDjwQP3MT0vkk0bIDJ1hDYHk3h2gKCDLtyF+A
xlT4eZCr+KUYnBMIWEI/YkJ+w+Y8TRQNUXY0Ch/K2zzh7dIPIS8zioEb5BZNCY2wUbXvSkxfVVl9
EF3l+ij8iXc9NFP3UDTWgSSCD/iCUUD+8RqMCg3niTTRKGD/ipKlD/+AvvUoPk8lgRCKKZLpxUjQ
sZR7xKzh+GdjJKpP492hKK6UvGKBfJOSii/V6eZxMx5IZbi1urjzSMJeqxYfiJkZNiqvc+RLQq/L
aw7tcaAr8XWAq9GW3dcdqdZ01eFOGNWXZjfXJekYmLcTDY9MZl/LnmWfwHlP42NMNXZT76w881kU
wyVqobbkv7XhIslxn2qjvS+MfkeGA/djc51JH+fl4nMfOqZjRkQF2v+KsD9Id0RZEBYc/Mp8mpBj
a6QkoSihiCzEG2vTezSYj248nBtfu48HMKWNl9BIOwiYkIqKWnz0HWE5yJYBpvJUMqBgOeGd6dzx
mSFFavligjeB7Ratw57y6AURK7jhgpM+GTABNDIj2Qbyehb/zJr9R8Xi3MdkQRj3vWEB1024pSdn
ftdSqGz2suTlgcl6+r52WmTjySFWVI3NwB6zGT8qK803f1/yMCTrmW6fOOhD3uL2czPtOY/NfdnD
0Z7udNlCoNN3rX43hRRzcwfbbyyxLsRV9pTPW3N2P2LaEt5pydScxPplQwBTDneqx81oeIqokmM9
koYOHvQzUtXWBEFNC4nocWz9vYXDl/qQQZWkm6Fk4NtaAHQLZMucG57JHbu0ZFPLQxBdAvOQkOtl
m7+sspgD6Mmx5GkE/ombCKnIH1hukqT46MNziOiLvPZbb6MT8XH33vjiZnjLw4p9+tTDSeycqw/l
ieulsLwsI0h/LK+QlQ1rS9Q4zFy5cRXBj0U0/1gtzIrOno9NnL9OkfhubINdA+iCerEDz5Hkdsx4
UlZqk+Qsbj2L6Vc5KUI+xk82IzCnUFUOjAroRug7bOnf4FofBmDA/VRdfN+4TWb1GSugSaxAV3or
f0M7ueSe/d6yB4JAvW6KDosIxh0OIecu6uSDJZ+ajmAxFQNcLSBGFp0W4rspLhYBbVNSVww4gS8b
oD+rDq6ZMOtrbtbnVhrckRRZKNUTxJI29BqXhoFit1oRX/QbAhk0c+ZFtXOHLxZ/xzyR21upSzcC
nmwapwZ8nPzaZEe48ctQp98VotzcTp46f/5iLbcddDz1uRjpYtvviqdJUWF+L3Q65hnpOeqtDX56
7JKkHL25jHE9Y95VALq9Vhxsv4dDFyHZxPYtUobYaQ25VJWvfr4k6/qMKwU5L2VMT+iSYWRCHWC+
fEm8DikwnrqVS6wurbGLGDHd9YKAjXLZ1xcem/f4NYzcZ3qlR4tvmy1wqNKNbgXC/LAFCj2AXrGP
bjTf+sh6aeW8N+bnAU008vs7XO3XXFFTern50/bjC34W/FMaJqpydB8H7RJ5851TyzN+EQGYgcAZ
J6jy+eQ545/OJRFBNAyMUYledNVu6tLFqqxj+Z7p4lDMljALG5R6mcOgwaYuK+LshIbWYH6i+d63
z8YWcETFvcOKPG7AbgEGxtPL8qLL4F1h9iUwoyHF2rbvfYNjx7F7CGXtLbatio/b/Oybzge4RlJh
eMfZ53F/i4EQbFHc2/2SDlaGlJZ4ViEM4yLgd3ZKfe0wBAoIO/zuFjp8HHX7qBlfPLWcOcg1iQzK
noeoPNhpu3xScbkILT1r0QgFpD7nbbS1fMaBAFqX2DOXe7BIvj27uMU1qR5shxVG+ICmg0vZRNSN
80vTvPtJcirK7sYU6rWySGUty/KPnUMxYh+90VLnAU/ZWyEvlh7/MLZJzOarccePonDPFFFn2OBM
lVFnQx04W314n9YpIFARPjujDaqgyyjXeb77rghCCk54RvOFwfTRZfCwKvvsiXK4WVUhivslXagv
iBnV27esg0tLTIlEfP0wlNG764TGGtDureu4ImOYkyEJwmrTkaIpIoQh/nDMmQ+1atiNPJzQWDzW
kmdXO05c4LnEZtmMz3ZrnzMEKFvXbF4igUgAA/uKq1wy2KEdhfFoMr2OYZX038uvN1byeerGH6Oy
OACr7j5eCreuo/RAV6SsCEJsClIHxDsqpPJkmzyEVIu9Rdf5/DKYR90+awePMAyX5THigXArjCyQ
NfYGIPbOTsv6+1xHO2ZnfXjUGc4dElaevbCKk8xcIs5GjNGxGJ+lh/bds7ADMLL1tnqXGDsnfSY7
DQcFlEYWOVhDovS+t2xBqCu0Po/Pt+rQg4wXUxtJV4kDTK1XiaNvzSz92vTlZ+8yPhUN04Kevmrh
hNVLl+bbRODwYV1p7yn5pGuGsGFgR+pDUzBHGPcD+n5ETeuEZDqirvI3+hG9EeCuBqaXHQ1uoKdc
YasG3k+U6wRjuXE20vZGUJGi2FA+1DaRMGSKf449hjWmR9o6MkEyG60+b1x2iF7NpoABtM/Hht+9
onrUq+GUcHH9Hho1QS9nP8VgOqfEA5eefq5Cm08ArIctfsdlHsajokquKJguqYmarcEIter0Qazn
wekDw3YfSResVpYYsdefEQHqgVGEp96kPtQnYK+sQRkSMCbBPIAQxs1+gYUwx7VEYKfOmyh5QTTh
XlC71jYybHNHUtZZ8KURtQ6FTvsbWe5l+W82OP1JBuHBXOrFziM+rqeNKBbNiDLPGXR7dHvelefK
HT0JHarHaq5BjWiO4k8GCZHndtWtiXbYGlA9RTsYwCCXwsbEbmE1R5D4u8Rk0W9OW9RaqIlNzvi6
EgeVTPdsf45Do7/ZdGmR059RzOpd+j1VbJuX4B5wDRIFEZ03vdI6ZZc+5sYIpop3wRmtaCN4GKRD
9ZWHGFZM+emF9rfMzSMt1ZdgZJ5VyS3vSeWIIwQy0nmrxlMJMB6x53zuUvecRP3WhCW4/Fh02p9l
S+uWtxdMZqijIGQPOe/PwObDAYPfGLth7nL2mwWpb5P9JQsmVVX2WZIJ1KNithWlmpnpb620T0vV
rMxfbY6e3bj+8iUbNSLuQvSiy++oNPMnrlKNVdljxQAbdMKza7NnZcK0j52e9R0YJVNHf2VaKQ65
uL0QnPSEL6Fb2SExT2ColNSfEyawsppuBNR+mTWUvsIE+esxgTFwDdYRxtO6bdkYmsDdrYeFc90Y
5ScfYbDi2cEf9DvWpxfpyqPWVE9mvlRZCr18N853IxOl0g6Sqn8EaIsagtthwA/C4xUaoqmwXnk1
qK3ydyiHc2cUqwHJfcHSgXymbDuDgUdANf3BYPHJJnJDQMcL1dFWm+0nn4GAahkfVDxacwP3VPe2
/K8y1T2f7n1TMjecQ5TanVyX4cz9N084K63mbah80MYsUmdDe5JsW5F8uztwec1KYgUMdDvmNvLg
SIXTtXDzETW+ImJmmxnyfnkNSt05Ov1uqd4aF13QlHWX1u1fbI+jyIlZHFUkqeuL2TYDz0J6GqUK
YR+UHR1DWOdKh/JZ5+Jqljz8KO10+l9I9LCwWxld9Nw7JtQfkMQwFxmg3rwE+ZzOSaogmpczatPl
OpMWLVZZhxt7aHKyY82rNRkEIJg3FDvPFpZVzVD3Xa0u2TjSSITJ4/KKetFv8yE69dH81ZnzLnSe
k6I6s/75bBLxhOr/UOZkr/WPdjcdek97b6avWleXVrPfGo9tu1PbD2Xk7T0TtSaDfsieHjImHw12
F77bPixZx8ZjHgoQPF16FRyZzD76P0nj76YOFptAj4c6fzUxq5kMRC8NdMJa0BPJjoeJV4q7WK+2
nSVA8H24Lq4CgCAOO0FvuacjrXgdVb7322gzu+LBMHCDJ8DNZ//YQ9EaaCdCyiihNxf2LYeqzVDu
sfdxx3v26gY+uLRhkhkZ6jawU2oZ3rdR+SBFzNMz5gm7tOqxFYHQBdkSzPgqI+qmvNbOxogupeyZ
mSNSuOT81wCnocbXz4XHhjWlz1yHsflQtcYxm5PXvql3hODhk4x1KOKIkNhs0bfnd45HAQCmHwGb
SkiNK6o3TjRCOq5zM7DnTt4H1Ds2b3Vf20x4HPxljx7ySMRCNzPclKNzIb+c3HlvrBeyCoqHkdjW
QrwkdflRUbBnC39sMKFG6Za/N9koryrWnVsPhSMO8F9cV596wd65VqRxTJ8xopJAAngCTkpp6Tz7
GSOsJUk6bElHgzq3js36NWds2TkW000XLTsBwdlW67DGs2dn3kU4TfdCVorB2JKBNNivwLUAWSOr
voElrU/VdISrhLcK20JhUlfHWaStPB33umX9QCb8CDmnycwo58BH89WlEo8JTG3Nhkg1evpqqBrK
AiD0kYW9YMAVQWTGI+Ty5Tj5G/vFiMTgyVAqLUjkMbeQJFldxu5JqF168bRcHuOSkwaoBkJHNp+u
9RmmEYN6i/T0luzmZGkCIovtb5zaW5qu59I39v+y8Ej+x9f4b/Kn/A/6RvPP/8mfv8oKyZ6M2v/2
x3/exV+qRM/f/v1n//nX/us/+uf9R9/+1P/Pv7J++t+3f/yW6h93T9vbf/+by6/0n9+bX+E/fsX1
R/vxX/6wKVpKoMfuR03Xn6bL2r+/By9m+Zv/v1/8x8/f73Kbqp//9S9fZVcgpL7+yLgsQK/8/dIB
eIshrL9X698v1vL9/+OL9x85/+7uI2s//q+//+/kFsP+V2dBlvg2+hTTsD0oLP+ObuErhmdBTTE9
wzcNywPqUuC6hs9iiX/VPdPSOYj+slV8kCrN/6HuzHIkR7Isu5XaALNJCsef/tB5sEFtHn4IN3U3
zqNQOG2pl9Eb6yMeaJRnZiGAQn81EBmI9PBwo1JJkSfv3XsupZP+V+4/AtOz6Tvi0vEF+Jb/DrpF
aKTMP8Fb6H7CU4ESAwbGZdLMRfxJVEGMh747N3h+ai1VGiAjbBqGKdIbt8Ct7hypk+OvZAYf2cbp
Hr4VydUWD64JPrSh/qzIjFLZXks+eH/Q4tEgRBrTma/E+p2XIDnWA2Q+UsBf8MasWEKshwWRTqB+
UFQ2vFfkJ5ffZn+KLhWuKhqE9angjEkXzV2bXFmIX29Zl/5NaD5m5f0CIK7+ubBND9UuoyNOC8Es
zwvxFTMgiIbdC/eH9TLJgxdeHG8z+VSy4bTzIiTKUFQzGohdKvZOEG+9lGNCufndpkIOKzK1ApxS
YpTBo+eKS8NIY/JQUbDy0E7AMTTv9O1JjInhIt14eoQzSaVRLk8VmbopRkOX4dQYIwQWt8TroDIB
21a+B/nXugWoxewV62iEioKuPuaHvDIYlnFFMzMk9AOLPa8a/9b0MDLbLEwYmgMIW6mLCnZ8Cops
43LdUzTuRts/Mx5H5AhRHUnbAJveauIdVt9z3CZbMc1MH35ZE51pZ+TjL8eKIN8BoCiE2Z3Cb8JY
GiY9zd6hXefpVbU3MboSDCCDqx0ukAkgujHpE4igkfsWnMgZibYSxRX+2SnO99HSIfIjbdh9nWL6
+enDmL25OQRGznnbmaZXELyo+dUm0OguTj9rHKryh08rygkIp2DpFezGRf3aIZKwCZ0h87q0X0ln
p4P+yjVVghlsTbuyfdVXmcLtmBE0lDQY6pj2KUUyArConnY66kcrhpcCziTrYw/PlAhoghE+eao6
d9zYNZHVaI9tHtRcEOcQXrpmYIhG+6JHtcsX1V71r4SusSqJYXPRrg0yRo51HWjLJIkkFQcnk/FF
DvpqnF4rjstGpq38pHg1p1IuTEGZYXJZwNGZxmZaQEeKMLrHFJSZTooPjQ3+FxoP4wb7uVMzH+4+
a/kq+yvobFok/arzeSB4vEbgDQRKrEp+jGlOGw85a4Ukv4KWhhzPk3uDPoYxfEw98v3MYO6Hd9f8
6OXJ6vhSiGTWT+6SSuS4SJNgVtPQ5cC58K6X69h7JZeCDoXBVJR4XFSdVQbfvbmq/q6lK00zn/bB
Mexec4/dm4gmAPpY31CSTSNDZ9r+4PLEtGmpsIJG6Kpo0zMS+E2LiOy1zbSIXWnTuRO26GlTo0HV
9wwnzlr//5RElEpcGy4Wjwj2MPOmJTUU6fGmgDBj0xqYyeZsyXP2kIY5+lnxL5gW10orhxckzCeD
WYox3CbZ9Y9F/L/gTfkszf++NrqmTbcNbaHp67XzD9qU8AM75GDBzLX4luR1LPeh9mQXYp2Dwosi
SC/uK7xG4Db6kzHqLGxeNWNjBRiDoJAu027mGx9M6zjOexKCAxaTZjcIS9MBKXDkKjNB5tMaT5p8
H0wXZkMNrUliI3j8cVKYOU0la1XMV/2STdPvd4B4BdO8RODSQw5wBEStHLDFZXIteIEC89XxcdOA
7tPVUspNVK8RsOeC9MXIvDrZR7mL+GkAyduSNm537doHOdkrI7tGHLaRIhMkjYQNfKXnwTB4RJGI
XGH/93fX+i93nj/uLuSyP++u8mnw1Q53dyletEWS8qkUMY9/tvEz1JQYNPr2Wzh3RnY3M7CcnXkj
uxv6z9u/vxK2zH//nh1he4HrOzaoNPOfr6QaDCMYwaSjCmCz20FzEjzttFEc88iNc0OCmdbQVLAz
h/0GcmUrL2TMMAKj1N3WNUK+PW6JXO2leWaMzNTfbh7y+p4TWddeG6ZbxtFI+etNiD2ErJXpHRqT
KZi6//uPonfrv8BpukyhWjDD0MSTw5rJpwls/Un/fGIzEZhmgDmopA4Mv1RfaP7EeoFyaXV/gfr+
qSD8E8emWWv//rNgQwtYco4V/sv318HnT5KpVCvSWkwmLoTiDjul9u60Cr6Qfv/9JwuF/vP+6edZ
VP6mR61keg4UPP22/vHZxsCcDAJTMD6x3iyZffQjXqsk3+eNBViXN9CaSY6/2gwhAXSE7BnExG+N
6XUc1VoRbVfjH+wC684if2ZmbjsbCboTdatX+Uoy71ny1zhr6E00X7HzZnJuS4lpJCGo4iUf0/6n
azD4Tp67tEfWhbdR2rCXujWdjpW+iqLILjIYb0cimpzq6k/uRpDMELBYTBxSMVX/aBeSNNR1TLA9
OkeTzVWXEQY9c61Y4QSWyzN/sb0yVYu2I475UhzjOcKmmW0cPXLGjd1xxutUTB/2IobHSJR7aXyU
jnVESnPoeefn9pot7ckuDiyha54U5PyIEP0LdrB1OowbvfOmXLbeHmyfvQxVz4iiQ+98+tPG47NN
SHj0SheOUQMkFwdAAfsJS56uGmCAo9Th5egwoBGcrhf6LupO6svPNrlXEAzrbYb5beg5aUHe7ZE0
TMke1SSHowz4KVJG4+e+6N9ke+kXPC3NLqOHVfkMd9gkYuoedG3dwIso25VqwbPmdNiXX05+Qe9C
u5F4WcxgI4pmK//Un0tvKGX9ttAf8aHfoC1GIWVaKZhavlTrI/BaXDly1bLnzSlCKAq2AWwZlAFc
a17ib53cXPXBCVkmbj7+MJryiYsykhkmWUZsk2Szrto+PgpGZ27bHSwx3taAQiFjmiI9JpIBn0P0
NTkHNGS5to1Sn2JAh1OTmYzwp08ZFAE8qXw4CXI/1Qc0WVDJc8QkM8DxYp/Vg54vcIcx+wPaLwkm
RHnLtjKwaTo2fzo9i8DDGkvidHliu0y929/78jYA5SzzHzJxVxUFbOS9WlG8bepfik8RUW3ScI1l
TTok+ogR6QjlEWjZvVFBdOal0TuSW14RzZlL8bpkRG9l/X4uEd85N6jKWoTmSs+nXJ7FLH7OK+BS
wIo0CiWOwQnGzwVmy1w/EMbrTI+8ko+DNd00BDgN7oBLj9oAw/Mgr2PwheFEj4GYOtwQNYP5mKzZ
Hb8uaP5V1nNFC0f/hICamge/5uKm4RSSVShn/Sx3iIAGJt+4DjbAJZGa8x/Lk14HhtHexwxqUHjv
ycA6eO2IgfdNlyImmVPxvNFvZQqhaMEm17DlifaJJ2DV1AdDsDWvmOeCnM5WjU2tkeDer+1jEl58
l9eJ9cInVZGyqMZgpncr5VpArJGDYABEPlkyKxF9/Lu+7XhcZl1VT89l/6UPEX4rfp8xunbc+vY1
Z4Sqr6LCjdgM14hwD2zcW1E+KHmdKaJGJrz2LuDHOFThpLvQWgMEBsg1YRQqF8790++i2PMMcDXm
ti9XjnrGb7upULgmzbWSb03eHMAngQM52FWG6UozzqwjA+uLzKgG+DyDsVl0kyzcMo3n5Sr20HU2
MgF9KaND6z6RmQwjEFLjHXEp6D74t/pkIRPscCibgccLiC0FsEK9UE2M9H4fLHga9NEhZBcNedAc
jwI20F4kY+XYD8wyGNQZqxr8SjRsrfew4CXsH9JpjSmMqd2XvueiaTlkXbuKdZ86MxyH7TBSZOco
bzlRKau498ELQZRjM0I/SBwGgIeGYami5dTGJedMTiyW2pqRvM+7GPiZfgg+I/WJU5UqHb8ob333
WQACHzpSoBMIvRAoJ/hZ2YtVfafM+jS7wgX5Pqp503ANJrrwItq4NE17Ht+kw4RWHcCsdA1a83WG
dUH/byqJeumd/SRuyUeALUDDTYFhoWndVDTgGAIy6iYpiLLHXdtZvrbIxQiJfo7Ng7Qe2vwU4V0q
nkN1LugxM6gR+yj6TN1rmhKz/NxTEevvGuTpntaolkI43//3Ymsa62H/aBmXfCw2OGjXqW/gR2Kg
zXESV0OL6GccXYq8ee+0Bd/iuIqIwxMzuhmMl66xgx6+Wcx9bX1jL4k15QdvT9veDsW4o8qgCYZQ
hEHNGwqTzsrg1sAqlgC0kq+BW5u+BOqZlTVmbqnsnFmgvfdYhH8lLrPA/GzG9A/ddSnPeFU4SZUE
3L7U4nnKfhgsz+wAEa8Ph9X+Jqf97oLM6LBztP5NVTwTBRP39yRJpcOBRLXcOoXLHXC3mRVQbnQR
pL+yRb0SGVYDJvOLjYOna8BJHwc3UGEAWq8QgfjjD1J8wNOodW7vXCK8cgfPTRysagWz27BO1Uhr
tjtagtwz5M6ACO7JS0fMTeh7TdVnmfvQVDtEXet0RqaOEb9TtH7pdzDfQ3LIJ2jjXSLC5zwuN1ZI
SgPvlJuS+E1Su2T5Azx0H2aElxSfiE8IslwbMjmNyaFGdp6RMadQA7Eh+F2xszrGYXwjzSa33hAU
GYRB5J1+gIytHPt17eNDZ5GsyvNkSBYYxNL07mHXrgvrEC1vLn1O26G7TY6e+nSGD0h5c1PRDE/X
ZPqSJJ0Qdz3BpbOhMORDtp5RFXjYruEtrlC4bwm1BYDSr13ILMtsUx5AVAL8tITOA/LwnU1DHz8N
W+kNmr+OFMOJLrrtxdvIYHdQPF3YYcZ62PlMDhPqRvK2UA0MVA38GpoWq3jSP7jjKEpa0zopJbyc
Yotpem2MzwreLz0Qs3iXojzSnK1og6cM1GbdNF7ey/ogxLNBkB1TbEqPZ5yOa9v+Jml9VaHyErgx
irnnCycp3v3WD4rN2mRF39P4PAoNbwVkAm/Fl3uzzda1973gWNC3hIwNRPquzjOk9ZRsD54ncPJ+
e8jDZ8JgVPpZwdBzAKV1CWNolDSF9VnN7jqKeSa6YhNSHJVDtM104rvFbxP6YpYNkKhthwI3Q8M9
LSmeR+xyWOYqplpjxHQFzbJtN1tADL9/f0G7xuAeZYxxCQ73fPLitAZ7ZrhoOpSmPHZJumX8wwuA
ei1Da0988DhwoWDVMwZ2KaudweqQjOC9289ZgZ+ietSLhIGyobBuWoQ8KAxQGrC8YzxyOBJO/vRQ
cnbXvw1P0ToFj9L3yP/JX64rY6vA/SHvYVJFyBECOodoG8+rPueFhT6iNCZQu/3W6VKSrlRK8wDB
0S5wbJYANovZvgkZCjGm0ad9EUw7ahSECLwS+RYD9e8WeKUHmAhSYXedS7rhCgauNdyCUn8dYgay
GXkJ81kRhr6k5ifCNlb1cZuRgKL7Hb2rbgFZn+Ty6DHwC9jOhpiOE/291HmVZcYQj0qUtiGTn5VJ
ndfXD3HD73CYkzbRQfgJA0Bs5kiTJDlDuu1Twfcp2c2Fr0GBy5aAGAImFFTWH53LK68ox83mQFoY
mw49L1xuPMrecuZxMP2Di/zldw8SGFtedUxk6YBQpaXC2lf9RmfVtx6vY0auC6hX4gJ4pufxmun9
9DgUfAfJTzmZRx/dYjiO25y+j/TMG294XZZOZ3nvdM1OBtjq5+JfJWGvJl1CXWQVRnTolxxScHFv
jN3dKORx6VvghNmrYNaksOWR5fr4+3T335ou/L/ODf4cG/zPtzRPm18/0x//H0wXbLr7f4OG/1XE
aat+/cf/+I+V/sf//b/+nDTo//avQYP3D2CYOKg8O+CUbNNt+WvMYP/DdTC06L4AAHnXEv85ZnCt
f9Dyd0Tou4EwTT/4zzGDE/6D0Gk0QoL2l+OZofPfGTP8S6vAZJDhha4TujZNI3oT/3J0N51sKhgj
s8kUsMJIkr/LUaWMXfEMPu4UZs6TW7g855N7/ONWXf7qDvzZoxB8gj+bBn/9ZM8KbCegg0do1T83
DSgN6zELtKpmdFCfLflzZmTPLkki1vLdCGIIy/7GLRLSaRxyHcWbOcw/0EbeTzG6lfBUnhiURZy5
OXeI8eKL8f4sLwGj4UACgyC6ux2PsdoTUMMyDWdoZQTVBbvrx99/EHj1/3oTLTvEYewIi+kyX7X7
L5MaBTjOM6OIs4IDXxAm266a/JI6bHnLBpwajgq/Bgz0a+kPIcJNhNBeZewlQe3x1H+NuJedqUNq
qDVwa7+IvYPWVWYDdQ76su+h5wjtRg2ejylnnGmg+lgitERNcKBgAWsT+T/iCPeOxLTsiOKcCu9X
jDV1gzWOaHIKDbcLJZIxlr9gAsGALtaluBo/hzARwIm3RGP9IP+kWCFf4FBd2jeGP5D/9C3ecb6i
RL8yqGIv6qBLKNckuxWoee5wwX2vUEJ1nNpJXx+M8JsEHVjrOIdUNF7gQMOCcjKQVF1+72SKkvGL
njjn/IJyIpVFsSYTh+3ef0JSiV2sq+9EE36nCvJ/scT7KjZSarPwLRy6j1a52ckI0sv46JBJWsoS
w3gDrm7B4ChNNa7lUNz6Sqx7Bw2w25hntFg2zlRCdPJyLO4zWWFCHtD3M3Fco3/Vj310YCXl+8vy
8JR243gHWeUk/Bj0MgFygLEYsuO03xUAGWInd/ZqgWwIA3TZGNrdZndHN1dwKdv0RsnYoD1Vq7vY
ztkQMb/vHXABwGIJm2smky5HPm9zW+0re4GTgTvGoMmMA8SixM2K9xng8qZxGD253Uzae7s8N+mX
2/ZQ1JHihi1mI59EV4b29iWngDGlDxOHAXeHMBbLMTCnOLmzO6GHEG9jSkBeHWLx7DzziQAD5Jfd
EByXZrvMu52YxuzGKg2qxKCDvZuE7Fr+wj1itJ5NpDmpqDk4ZqlobWBom0N3Zzo9MleLqgsKA2Wt
HJfnatJe0CB/gCx0QyD1V54HH3NsfEYusXyD02zdTOJMdudD4343IyZkV2dwDfgzYNo+OJ08ucg0
DCiqppGLOyFI2SPnmgvoi4uapiNFC+cXkdzJRs/j06MbRRu1TByGvPapKem3J7bLodifv+kFESxO
L202GW7693BA3yfEjujHjqChG1FjB4ojIEKDz3SJZuzGms4znOxV1aArn6YlP2SSEPq49W7nEjG5
P9cxmfBU4Itjn6J5uaE/7YHBS61dZzLWEjPA4sjc9dU0XCagUXiyA9c6BZ36wNBJtix1yGrOkjeC
FBamVMUPVzoOXkFKjbLEZx2SaOGb73HfbZKqshgsyqNTD7ZmCd+28CaoWOr32vLvJ98j48ANAFvo
fJuySMDrTu61ygH90TOwaVNVH4UpNo53XtAWYepAn1FbTyibcY/25ggBv72BBtWtMfBbB3YopCco
cCvZ0TsuB+irRbGLkCRB8uueag+Dbl63W5BRmoHu7EStAvoVWu1sgFnQbwfedcaO2jpc1+POP9eD
d8OUe2HOywNrdkhvFKYZWft3SHNg9c7VU1JGJ7+KvpeYLKXJsX4WDXgHeIEo0NHlYT7p4g3BHZjW
UIlMXk815SIMm4hJW4CM0eqoJCU2jDmbVTEk9xABEZPZKH2KUY8ZgliGqOoajnrjJUI+45sI2Qza
tx2cAAFhhidjgRCDbNCCEmMGTn+El4CyZ9J2LoFKAb22rJuNEwZf2Js6kFKW90YqtT/9rAvzszEg
M3RlH+2zsiekVKp7Uge+hIg+os4SD2YMdy52OfVOXtQxdXeAbIieOrPLTJ+p9QMezS/iWu1HT5u5
Ml7rLHpJmcXi7Q1gjBm9vWs6b2d5zUtneMSvD9W9USFzGmMSIzxC0ejfbsp323eWTRCSgxGT2CRa
blXTjHwrtc/p0kgYJy75O0rC7NwxHlh86yGf6zfXp90d04XfhzC36nPXDwgpE+gKL1bDw8XBfrTC
V1xgfLdz/WNKG3aOBluDht6V/Jwb5TQ4B8sA9ZLv4WYLXhpVQoVy4wJkr0fKp/WKCJpAEq0isqbW
2kUuCoWlnde5aE4dLuxda06PFUiaooBMMuVUH12Pz6iODkPRYCsKCFKtjZvujDo62llJS5ZqZb5g
QvzGVXcPTfG4xDgJfEKhGcOVjyBMjsUSfSijEAd4ee4+T4ONqhb4uIFBLyZ8z1g16CAtT9WAGbFs
arEnbHzB/K29MTYYfikWSEv2OVii+tRGTbajrKP4Vx9AUj+UGRjrIMF/b5TOUfVgW/rca2l2eUy+
bQDPiOfLGghpWU9YsJIHO2+C/aIhavg/t+bCES4YT115ayS+ucYQMq3TNn2bsHqyErSoFMdol8VI
s3It5iJN0hxhhJhdubMDZJCJIb7SgjSDOj53NBfYtgYjeGarBA5GwF0xHCs6vY4eplhlhu2lcQjj
m2FvVaO/jzvm4jIQhCHWa6cNvAdH0qv0lBOselnXdMhnRLYOMIJZ0nwuJfqrmnaskjxCtT9z7K8v
7jTgGbSsivFHO9Bfg6iMOqxP4DN780S+d+C/y8l/quYg2ZRldR7o0YTDK/Uan4XDsOaseSRhbuyx
CHdLKxFNDncRQ+ljW08Pdc+5Oy/rl0THaffzNbeJDSg69nv2NoSKYHvTSWW4N3Pwo8lRpe67lfs/
rOymHsz+to3lZ2xaKLZZV3I/uVtqyUkMVMaKefs1RhF74p7jIGOcIIWK7mz6I4Ycj3ZEqlHiWMCj
q/6bLFRmhDjgNoaRx4i22SyCsexgR8GLkFnS3w7xnlYattK7NlDdUzrZL5GZLPBjdeFi5+1hxJ0O
dMKZ9lXh33tuQ42bzLeZQO9Cp2Yl4EyQqvdsi5AsFlqXY9K8ArwpVqxl6JL7V187zZfI/Rp9/2yA
abQr975E1TNOSBb8iVGoTYRpnFjrhIgb3C3VpzuFPmEMOPzGMcTEulj1xhyaR0Ja1h7wZ3ABqUaM
/ghUyWuJJW8FHDuGaSAdWskZyH8e1fzR5azeQDjYD3Z6py+GGOs9Ng3CN8zXAc8JINW3rg/mA8aT
9oKuh1JmCdD6aQaEj3J/N0La7OYmPvvskHvpsY+Z4ilFPHyWVQTTP5EvUpAJDTb7EEI+3Bdzkh/M
KDhqA8LUqF00grjYZ6ILN0nAytKgHN4NKn+fxtx7giyaana36xrjrpk698mxgOqkU2bfspI8ZcRw
b4BtMgxqxqPbG96OYvtNFrQKu6VnX7Da58Sxm4NqpuzWI6EI5CjgHzv8WQcoaQk/mSB9E/aceo4C
OaTEtuNqVnKTLB0VBgcRNIn0zwJoDtBrfQtjzET/bSN6+6edjuXLHH3LAcFIVRPuXSh8z1Sog7Ew
Z2xddVpAhhu9V22cDtSeMcnj2EOrfKbitZ7Zro/2kPKo0SFGrp/TuXOXZ+UI4833vG2KpPvdccpg
02UhMEdPdQduWUSUlNdtyHI9J1nEUcqFl0g3rJlK4DUGYPCw+qiaJaD78NaTXXKXLj3IQH5aFMZf
oVoQ3UZMMt0sPMDJo8c8RvGHKJtfeTv0lyIHAUscExwFG8Vwt7y3EozKgsnKbXSmnU6dCmJQWB4Z
v2Vt0rCanOJsabyZYSKaJUjvUEVIUefEOpvKCqj7GAs4ZvvDBDTPCU8FxwJQ2XoS45M1+beNXc9Q
aDpwViqAOIyMIzLwcIMv4AYS+MTW5JOGQFM4pdWfRR7xpal4WpTERaVGUpXsT0KsdykeRJRysY9y
MyB6iSP4oSUbFevdGG6diJzVhTSwWNnXWQdkNllMJm8evAuH1QkCiKKex1KH2ItDXmHEt2WfvbuR
CxAGbp0tkF4lJiwax6Co+/03b6a7BWJIrKJReevR9C5Dbtb7nsEqZtadI8nO9KYPp5fz1o+xQqTp
ITTrFxqkOiawD86uB3DczZf9MFvvJgeHXR6RwbQsxnOnWeudo7Op55CJIjI2xUB3loiYZ8uLT3HM
JMbi59RdzjaXsReMJmVSkIGSRKPe3rlm9DKBo3yc6+5FVt6pHowrfAFmPsZNXBU0yBbvahRsO7FR
oxGh17VCub6wyjPyGOoBWs780wgZ2+C9oqZbUoTWYxee4sV/Z6he7ZpxAQYwdm9Tk96XHAHWJjXm
pGPWlFsSqwFgm5enqRZSW7ORr1ARB2Dk9b5pI1QAHWidUTOZo/BSa5mZlSr2ebs5O4ruYyNxeEtz
+VBR8v0bh12PmF2DGPv8QqlQd4zXioGJKMp+5iWhHhQzemlLgnuLqTXWwmnuMpgam7mPEFT0ZL61
xqLOOaCuvWHazTFRvPqxX4mzGzfnPK2Md3NK2r0PtxFxkeiOfQJaHz0gyRCkygPj58DmeKo/Z9BW
ts3C3KC1h25b6hErB0wSpYnTiVmNPb5S5cEia80Q6xgZB9uBk0nXj5RSs+VrpfSdOwxvMhQXm3dy
ZQ3JBTt7thvRVeamFu2LmQNs391h73sWrVGvfZKLY6LJkSwBoNkOTvhmzekVuh2gPoBRy+wzZOuJ
hL62TcuGbczmkW2QVxg3OS7GixHWyQGp5pkzMTDnPKYyb/2KafQKw6+3hSuEi4h1sxq8vRK0y+2U
wID+mvPF2yqh4huehSP9e0q81LPVWc0GPlO7XocFgp18FhcvQD4fwikYXPKvncCymTwcR7OWnK+x
VIM5dF0mS2by7vakQUub3Le2Pow9qPpSFTdO6/8UtoWOtKTycNu8ZRbmzlungW4xLMdpIDHQSAbz
Lh88DBKpWezqdBZ7j8Qey83jswvehdkfSScVZsu+DhsAExhDyPSGHox930EuKtO0IU6nUh/lPvHY
iIagerLYsrw2ueTT+DQkxJUo9uyk80+N75m3dRxyo0i/FThsbYIWqLLfgwFhBlYxjllB6xwGyCAL
DwNckjLDIkcCoF8ZxPAq4OdZetdkzPTSxA8PliVPi294uJE3PQvpgTC0XzGSlsRJONt0zLeNlqNq
UGXpvp+ZNPRNd1BoBukooJoIYGqTi3aftxPbQw5NILFuIxkxGbXxtNtgFuzs242MZwspPo1C3jnI
ygavqhxu0qMpExPqABEGKcbRU0seVdd28r7s3YO55Pi5LHKvlTXEL0kBjLBsbWZOSQ3nM+68/RT1
9uPQWAcgf2izQKe1Y+M8ZsIbjm7JpAERPqV/oZ5JkIbaNoGEgw3fjuoSdIZ75Gbh+ysl5NN+gR6g
f1PNmZ7YOOZZkbDUOhma8k5Wkugt27hjXA+4fMRMMZRq1+B+9v0gvDACJAIgy4NtA+XB78LwTHzG
xpQVr1YJJ1A6+d6Ju1eVTuXlr79FzmvfwDRoGLLgLoSt4RAbn4tzNY7BPeweNhCbyVkxWPs6ZOxF
bnxyjIb215g7z6Hjo5YJXbmPgvYxw066MtucJL9gesY2Rztp3touHJM2TG8pX8Q2MGBlCF5+t2T2
M9eyu59IrZ0zdbOE+MwG5LSLtD+8sb91k9wkr57Q4gUupZWn2ACpd+ozDREmHo3LIdnftGbRafIq
xmaC7HLUP533XavkxcWKtuugVWyIB6UcFBe1tMBIY/NRVuesAVsNTvlnDm8VAhRZOITfAQbmmIiS
BTsIM2MJUAf47qZzKGIiXUn88CMG5PoNh+ZzcGeyG5nNcbbsCXCbsbtyYEV9ZDnmLpDw6+OUO1SO
BF0YFhLxkClq7DU+6krEEfQJye6hj0zSxjmttUMG2i1VNPracSCit+oRazoVthyX3CLVYH8f8lNZ
cHx1GrB+Mpo/GjwA66Ts+hWpBFz4/MW/waw+ymLrI9u2CTNeGYCbN2mpvoyZMkFVI0kO5bOdujOM
EBAIfpsT+yeFtfVszLwGbgEiAhgGTj/o8/PiUZs0XZLvQrt7dIf26liu7qk6RBlX+BLRh0lK385u
hnM3mQcCcmzyt8Z2m7ZrQFDVQXSc3HyD/LmU0Xgu8D3BBflZNT9gaxC84KHuKKsAl77PWDlfOHzR
87gUcXaiwWnuIiQKLM5xD5elHWW9PVsTOY6oN3HBe9tJ8Ro7PDydZRqoSeg9CMv80SniZwoM4YkT
PULLo8tlphkKM9y2jboPRQTcB98b9Kj0AkHw1s1QfDfj7O7tzN9IMOGeW4rXYAq/g3D4wopreB+Z
AGRIA/lznBC2jICc18nMaghbPiuZnSYVUvlO3+SuxDAsGziizaAeahpwfV87pwazNw3VILiF2HVo
phYQZUNHsvLBAENt6pDIcVYosubQi+qImBTQdMOe4XnwrXTWmzCzmofLPoMooHawKg4xeFM5UDRh
KTYeoEPptO1N4KFFWZRxmuqXOUnKk79wo+nDb1rG0jFWBL5J4zHoI+B/0Ko8Evs0KiDby6Hf94uj
bhIB8DTDttq07TFLh4nodvAzjEjWYOVGxODYgF8JhEKiIzWcPx3Ryd8sLvQ5nVmTxumDIj5i8Oth
xbnzFHrBcPaafT9NX+MoBqIj5tuh1i6AvJwPwrGAOjufmilWJC4LWJw/Ypuijgog3aW/NUEjKOWC
623IDeFQEj9DYErRWSYTq0KYTfd+PMZruCvrvFh0GOpCjg9f5OJh5Wcw6+TJS+4To2Xm/l1byAJV
yo68xZu66rdJKDHgJtW+k95bU0LE0tqiXLTRvihuxC5Na3Pn0eklSiC/HfNuO0bkPOJufi+gNh09
MOJFKfCVyeTsqRmOKYsO7ES/L55IS3EYD+cPjhcUD3U53RmduY5792q16i7LqguZFSeDsCCZhLs0
LilhHSK68uW2SWbjtq5+2r077wM3gee2ZHC+vYLjjz9BMOL8LxqbA1RCLMlSs4LY0PMkLWhsYSF5
OHQRe9BDJbdqlDgR0khdlVWiibNZBcJwF3L4YUd3UjbE4TIuUC58gZY6NwhTp1+Hiohnq85oD+VT
ptuuMWrllknAUPh4d2JSyQ34eOSRpufaYoaPTsLug7tKiGsKO3FtRKOkFYMP1/WaQyOXGmamBpl6
nrX2S1xxJWrEdWZTDJo+Y2+i5oj6HBFOA+EQUemtafXuhggVg+OQx6UFEQGdgSKFvFnxu3mtie4Y
6oWIO2gBhKgeM3JWG7IraAiWX+mYtjs2urewrg0OLx2RVglE0wEw3yqu3H3bWFoFytcTml+wJKNu
BP213JVtcADJW92YKbfVSNRjJ5ZsHbIzdQh8scvRCpCsApXz3XnL3mCsvOfZp9kUszUEGZOnASqj
tXBALRHrulaGmssBX9LSTffB72GomJ98f94qDQiMZfo4L4CGGfCxNIKA2ZpOffBpB4BfhQrFs7wO
/WG4LWP5VrnNiSKSr69GaelaFrrdQ2f4yzofY0YsrkeLBOAFmQEZy7m6n5vuDiNxsgYm8AEj+FvI
8LXrmON4Y7a1fA4HdohfONYKXnd4Ay/+SjIOoYCFux+hUkqOZlXfv805g8QZSQYmBaY18fRMC+ng
Kf9oMeQgSBq1bwnlLS8GkNMJrCe3fslRka4y8TNILEmMcTLuc9e8ZPpwUUuFwNJ8xTA0nyYkD6Em
ZKIzcV1IDX3CMRle1poGp3GKje7T8tHGE5ICFLG0t1Q81JjOgHLKn63bYE1MFnse2r//w9x57eat
ZNv6ibhBFkORt/pzUpZs6YZwZCrmXE9/Pro3DmzJ28K+OgcNdKPX6vbiz1A1a84xvoFadnbKa513
n3VlzYfeBASl3XFfFOZLmNjVuecvCMljmDlzV6FRX9Wiu8XEEF8lIwhtR6Rfm468BEvawdqhRTwL
gqLlfLTT8aDToAC5gnRlGOhvegkg6LI2XmfPXMX8QdC0IYIR/t318c2YUpdXGWp/DL5fPTkOp8kh
AMGxkau6UU95ET/BdIw3MDNtK/nZVFZw4xTOHqw0JfwUXRvZwLilRA+WI8CxJCHgKauiQyM8N7Cp
mUa77f3pJuqYi4Rh35z8Gdp0Qqrfyh650Ql9O7AB2Zo9lf4Q3y3jLYlDHDN37YvjTAjUqaPPw/ai
aMZu4godzKSvKx17C6jzs1FXwY0sAFMMOMkIZEkBhhlqQ8uayscUqIqmx3Su7tNGaJSC5T3Ew/tk
oNYXJrr6VD+KCc1PgjTlimLva+jgpKIvwkWUBA7j47W56fDfx5+FJ28BLvEtFhM3ipP9GHEAIdOh
22WBv6EWSXZjBn3FrDWAAHsTBhw3ptJDYN8gGyVfkbhWYzUyf4MYTgop7Lx1EMh+k3h5vXH83DrO
VBfIjxG0dNO4bhr7q6jrp5EwagqhxV3vTbxQMKM1uQ1TEB71nNp7Bgu3sZGj7ys426UTTeBIjeu2
H8Qe8/5h6BJkiS0ZzAp+XBQl66o+VzkAUFvSjhvtTQJbf9c01cnqyNs0ia3Mmk7uw0Q90NDKpN64
plrnGV7k0hAT8q30tEhyrNaNF8j0bTAWT0GGxs0I7YnI5BlgnI+cMospsPf5NN8zygPX7Pd3Q8kg
rkueXN/7apKzeuVNVkuxndIIhXFQKYLBtZ366+oS5hiDaxuqi2GgbBh60p+MtrjnPf6a+NHPvr8O
Sn5BGpM3VMLnK2u8ATMHuquiLk9VDXRnFqrczY3pr3O3+S5Vk191iBr6zubB+uU9Lk/T73ATDCjZ
ivGTqadq3Qwu/ulsvJouTQ5+pwvG56F24fGSztErbr6Mm++lEI/KQPWp6L1ks/e5nlnQAJEt0a75
DqBBfxUodMSgAwxSZNNnpYf4UASIFKemPGQ6WuLrcmtLzu+R1jydEvZ23OQIlqMU+FdEiAVcX/sg
JyTvpGFIxNPWNYCPm+DzNhNMfFTYk8uVMDmVGd89J6oZAiGiva5tn/28/2GmXBCpl/LK7KbXxpgf
chpQqznow08kltC6sSjJDP+eMPvkejKdozcxbOWsCJ2vsbJtY3sBdLHi852OSPbsBotZ2jw9m+Vo
Y8gjk22KceRV9dZtjKehHSqOCIjDzAaBaRBV993UkZhsfamXXfuXmuT/ndzqf3SG//9o5jZxRf3P
eitSSr5wvPzyu8rKWv4v/+3nRhglEDMFQMwcTnGSv/MfoZVl/xf8NnQeDmUXaiMPAc9/+7kd779c
tFmLfcn3kO5YeJv+28/tiP/C+U0YOIcd+BHILf43QqvlD/pd74TBHJGVAxILD4h0PfHGyjaA+dMD
E5krh+jvklSaFSmt1bbU6NbTYiRbpCIBo6gF8RAu7xW01OqoQxzMaZd8DipzWDUirvZ2Md6VcWCd
f7uVt+/1WO+vz2UM7/kOzELP9N7ZzZlb0bkzKZ1CiMvuPO90W82IIaNvWcicvk0LIPLW3AO4L4Ci
onVXCI09uz4MXjCyh4L0S5O7wfvAzGYtzrjf3WUWFwYcBuwSwxL8UIv66jd3WaHdYi4IDGCnEe6q
7Jy1mOILkR5662p5IL9HHmSAD507/FXrHoUtgUUEKSXnMUS57MtkreMye1V4uFpGJ4h8hw/cfZb5
RgMmuEqOd54NlQQtm++KP68yFC7cfSLBV44Toecpc3/JkEPwrA0I1LbJTL10jCdyvp9iV9GF97AQ
dJD3KCqde8xLDDjJ8WDYmn2fRl1+gn17TWzV5zTKUW91TGswm7drqSg6zJ5KOk5YhO2kiI9TYs1X
xURKe+VYzb702XGEkZb7tscqmbSueTetf+iJ1VklEDfztE82zKAiAkpRlplSthfPHHaWKiVbla1u
CRi2mLO627yW06UnU5UPxTvYMvOXCTopBwwBMaQVu2KWkPwadEzznCO+8JMT2BTrxKPck4aUoaiJ
AMcIbDFJ1lKfRUa47adK3CzmYYP0lZSqeW2jtLyqIcehiOWE1jMato0SQG1VkrSFgiEejP8U2Mfe
hlmpUUDXcE0ObaRR5tf9vO1IlVMEz6Kl7dYybFA3oNbfJs64nJXpcpL+cAwyKmEIjYREKST0nSRz
UKHegiHd4qxjGuFmwc4H838UfvW1z211sZz5h68kJ9YM23CEMXY9g3mPlFU8x25JsJUOT7JX7vaD
T3J5Z968+axonm26NtAJ761ntGGQHece8V4cQUUxNGfl4lTpHTrHcwN1h04dNwG86YBMZWOEKFFG
um7ZQAf535di/+1SAg99KJJUNKPmoub87SP0fSHziOCPq1h3B5NlmJZ1sONrwxhnWSclmVwVk73t
R91tefGfjYQR58hoYG15tJFFoMU6TUgst8FrXc/li0+UCf23FkFLL38ao4g20UDDYK7aTV6mj7XG
xAPMieZ+TQr2jBSgZM66dlMmxF4KpHFsTv/+ldZbWzkfsWsGJKWi3eA/nGUp+u1Xsg41ZjOBgAii
QF2wJTDEvB+9JQQ8drCyoCqMD153Ilt3P4gaF5ZQ0bboE2ow7P3/vhpWiPfP34W+blsszCwt/tuV
r4x7PzMgT9jjJ69EzWf3tn/l+foil7x5ndr0XjltMjngHMtSZ1V2uNbg0DYjn+VLarnf+jBvbxwD
1RmMr2PXM4DUcxHf8PKAo2UaPOYqXC3A1WdewG99Y7THyk8BbxFXYtD5J9nGvY3boWfSIhnunaDU
lS/fK4CmqPqikyY+5XmafPRLkllhqT77Mr5LlhAsENpLiq36Ofsgk+be3hqimi+e3rsM18lqVMRU
NfhlkZK2nZPt4aZZG2QDYIlBCNVGeKxTUm9TXb2UXRds/LAMdhPqHTbQKaLbN3y1piTYKf3APyo7
lnOtNuXsTpD58TypBmgI56X46JDwthaRD1a8887VEImLOTfzIa2823QYvqVWER15oHjGWUsJlR7Z
mRdLBa3s/ViL9uT39aOsmuYxDIZLxKSlQqtjFrHcE8eHMFYzQUmi4ZjG6lMYwW3KW0CMxE9o3pZb
hwBFvpa6B3SEOmIUiVx7yrmtDNDZXS7EU8a+vuYcvMo8vweiOpDc7sgZJCbmFBgaFWjohpBR1fur
rC62MXlzL2rsiARqGCf0ch8EJUfb4DAWzLs7WXWHeRoPnfFgULzedI3+SiZnt1VmcJPUSAsLQTSO
rr75/Wg8eTI9CfiiGyOqPiEmoVmb9dNeW9Xe5fV6YJl5ooN+45udha7XuWRVxz9XOESVdfyqiNle
JdnpCOtr90JXxS7zSTxexBAhIVVwjznLeAe2GfKS0i8Eo2DAmnCTjX3OiZVkJxZwG9BU/D3w8pZO
nX1fss9yNPOjE0FNzYp4DzAMkNmOwXTXLjfNr91P5Ht+ilwYpAN/omjkDxWa7SGqEMGGTdtdrLK9
nSw4x36mYVCRRezY+LWIkzQh3QCL88cp2mjiFjlvKuzAVsphzxx/2HlwiEl+2+LdMgkjNs+2I0N2
3PjId3nq5nlr8/kjUYyg8srxZ8QJPZ+Z2otcLpzS5AdtTkHmrWYDmlASRIPBrH3EtBZquirg5dPD
PFL6pdFUHp3BJ4C9SzCnWcJd61Auyjp64ZnBuUPWhklHCJiIjprmIeYHc2ut+4FpOhLp2Nu7IXYe
H2Ng7oaSWLX6Z9bGh2bCEolx+d4KGG4Y9FYzo59uh8WwFKSqOwiDGU3oJcMP17l2w/imyKeFqfR/
6/S/FZdv6QfLwmqZkAGoz02P/ezPhVWW4+SERoJus/4K1Ou7HUv7rketR+UHCF/QFQlLOlGGwnM3
LHpl00Dlr3u1VtUTTOP4CFFZo9IhqsqXH620b7wIS/FGVQ41xA+ozN9ttK7fNMlow07p8j5YiJQA
WAQpdB5O7E28Jkb0YrFl3Ph5YBzMcB7IV3oSDrKWPBKPuispIJruR6nQfiWF1b/4OXueSpwBb27w
kI7VfPjgjv5lQ3ahC5suZwlAUd7y93/bqsDWQGIRKGEjegzBgI45WiTKQZnciiCynzzelEZ6NLG6
cJ3MOPsiYP5oFKtk/cGl/KVA93hojrAFZwfhvHFyDE1g0URhmxpbQk3KCYLOyPCAAXv80ixw96bC
u2zTP2KHL0p6qtUO4tUAu6G9zStMXLU/7rCmdis7FmjF7dcQ2/5HD/lvl8lJTkhPLq+hfHPHGjw4
XZdgF0OR0h8SgOSLO3RaN31PvLFdtmuGXvtwNtGABdGXzqhOeU0t4hTBzozKL2HKCMuw22GPEwze
DAcyj09lU9hEs8SDY9OsT7aCr3UtWyJEeYGeMm/MV2gALp1TN2dKxw/u/WIqelsiep65/CZmv8L3
3lQsuVe6Go0wVCzTB1o0hdO+V+KShmQcBqNstxP6E6zsGNBcD1mV8r11UVs/KhLfDUXNZfBnXxVj
K3d9QrM0l/WXCJH3qkbDvQ2dKT6jTvn6wRuz3Oo3hS1lLW0WBAPW8q8/X17PjZt2qhekTDVKEFOh
2CP8ujj1uRZyXsczA7HMzQzm0CREWLGN0B8DT+1H6vbflyL/UmNxsjThq9E5MNHq/nkpSzroLFW/
sHiUucumxr8y/N0wzGR5M+PeoKbCF90l1Wn00fuYxVjdJk3s7jlW2ltJ3HYRqO7BbP1v7OrdY4Lo
kcj16KogT+Ahduv71iWW2hrDXck0r3FFtwGO0UJkKPdpEuqNv/D/s2AJNK6zU7kgfaIs2JfATNeN
76AG5J2tGHd/oS1lXCV15FwXjJYOo69/qiyytrNTbJkjNFc9oWWmFzTXnpKbIuhukTxhKgayQeO2
D4/9NKzLqm/QXPG/HB1cpoou/zbu1LnUqHo7VZ6ivPqGgKc5tFnpgh86Z7VJJzKosicZBQdlT48N
zZfzFMQ0Ae35SyWQpv77sbyD37Ei+z6jcdDMHi+I9+YNoUdZ2qLVKGqW/d5GyNbTVT0xs2c4X3vz
hiXnHFVORzoUHLyEjrajy00ZtDZxOXqTR4aNrxyFw2iLTUv9wbYomfjmG4HS3wmdF1rFN72YOXF6
GjCsjb7dHzve/JyypStc8ieqGSSUOGkybqwR/QeRs8WlJ8iY1cz44FO2l2XyzUfhQxwEOEiLChjQ
G6ZV2Cg8hiZjVgn9l+Y/KBERmbc0uu8aDmY38YQ1oxtqfLuBKbF+90CAYy+7ZBTeJQvrVRamxWYi
UvGYCgrZ4RVUy/CQxdNeaWSCRWlfGwR0bcoYRBvHdcK/JwbJ85Ai55oAZdIdIbfFLeJDW89Q/Avz
kzEU1ks9PuNErS//fsi/fHF//mLH9nzThw1NtfUfX91ve1ggK9IkSlgR2oihNGSkzpIad48Z+GgP
0C+a/Efhk2CVkuxExFHhrQYqpYNjzOo5WuYYvX6pLdAfDAvMU2IIbz1muMdHsKunIE4ejYhejELS
fxxbtKaMp6bbeaD2knMkdhnc652rSovWG9mVblxvSqJ/bmc2tIvA/C1GLXftolsePeahAhbaTecs
Ci1U9bSin8pWhMc5wJaB0QQ5w6q0sRE0ZFAWNMc2Xd6dQgs6WF8uUDXTPxiNgpWo3HNGioeni2AP
LrRlox7Mj86y79dYx+ac7tC5pLaxft38326uD/mcaGGm2Bx9EqBCFLIRlhY8KB78ZgouwxidDVV0
xqYG48TwGb6LsX2wZ179fz9pa6nv3j5pwBHW0slA4ey9KRFy5hUClRaosBIJQ+3HW+bUK4UkExIU
IedWSxC2ENedy1m7QlIRU83ulPEjD6L+g07nYrh9fzG8dD4rjEnPd+nU/nZnekMPHVYlqpSldsbO
QPgGX9pWLetAEbdMoRjVxypuNqWY4EUMUGcG0ildr9APprWc9Iww4j3sj/nE2Z/Mn3ZrplaOWroO
j1Vt8nl5LXKcMNoZKTm/iPRWacbh9d/3VbxrKuMgpq0MrRSenPzVDP/9pwgHPNEwI9LFAoFGwgxG
LC2pe1J29sKGmSVBdENi2TN0PCBPCIWivh8eRw/IcEKt6qJZPDlh/Fw0CHEry0BrA3uyqQilSHM0
jRk5PFuKu2CL4GdNpsJ4k0nMkB2xFh+sf+L9GeFXn50Gk1xeWmt5oX97LIEZGn3Z81ug6CRBscdX
ap0jDy4vDf9bd6zqF0gWZgf8ywPlD5kafvrSgys99rlwW5XQhAaD/m/QLO+57RrHOo7DtZ/Od5Hd
iueBJdXoAPYYFqBh02h+Tsq3X+xo/79/LEQNso77Fp+eKd+8YbxCKdQykH92hVTbJgp0zZQyQFFK
Z7YfgJxMrXwhF5HmVnxKBmXczC3snLAMvU2u3HqPKkBum7k8qIH6XpTSvaWIgaluuwjFE5AhUrUV
maJpsnXTUzb+ECRAbIze7D94x6y/vWSMKwRxCkwubDhvfz4YrzLSfOyZDCSTQ+a1QkgfyvDZaSci
ytP8FjQ0gt4ScE2ZoG5J/Hk7E9JLSMeEf8AqEpSv32GPaauvX4WYdyVBY2y44M8sM0dB45WbLrsv
ssdCdozZzDKj5oFENVv97Q/Pthgvh+1nVcXg2EYnZ/WKclLlTfdeeHx+QWpH11NH2hw0624/z8Mu
pnHLhiK8J2bwyHbTG5Ur7yE0WOi02w5rtqNy7fUVaTG1fhkyRKVhV13QS776Q9k8yNh6AFy1aQDG
PciQECPKtcZ0imtPT8N5aqRLmjYNhckBuzoLzvo01n3dnouYDkAfkw6Oi+TFkCMmxiE5C9mY29oF
RuWTM75QMkosADtCRB/itLoNghH3jUHawlhWqA6gS8qUDlpUzDswwSRjdfRCvKIXWy3R6LfGvJii
O8YNdKixBpckr3JsdnDYXCetmFYGhkPeM+p9QWbAK4NeuJ0IZsKuTA9d8p0hSbBWXTnecLDA2QUC
QNRIxSSz7hmn9LZoadli+DZBdfn1bRFm5qaIGneNLR3ZLbXB3LvmS4vjE59o/dSbnXtKfvGAw/Tc
5vUTbj46I+5UfnD49f+ygsNFNn0899ID4vymVJKomsZ2ZgWXFiGSfosw1Wh69ySd1F6Tq4Anle4W
0VB3Xav3cSXUY6UN/4jZECVAPYNe9c1HR/MCq9BOtmZkHtDfVp9kPnwf/RhHYY6QW9hNQ5ey65FW
rLoxmF8TmGexZYr7KDPpMZWETDNg3kVqyEkey4NTwugAPRHd+VohAaum6WdUdOmdVVuLX8HvTiSH
N7/SeifeDDNHyTqM2H4GkguyqT7Tgz/KzjEuis7NDV5zuhBzv80is/jq2Q1Nfwv5IL6AWwRg8IRi
iey669DB40Xeh3BJGMl96sugAZ4IFdaSBdi+JHrU2rHvazIVqKS6oxODJZxq8o3chDTIZmTp11nl
HEVSgChIJLFO8QviRrCyw/zqWWGNodLzEHI04I/DQJ2Ic70LEXmcbWYg/15A/9L5RrLHeTawbYtp
mnizF6C4mYac0dlV26pkg4byknjdpyItP3dOSIannWKnTzBnhHWT0Ivk/dTonK5aFb7OthHfuS1O
FGlkmyCDXCUCWd40gbpDm3dAYzy/orDj7OuqL5FFtPMMV2Ujpgqfcx+vjYSAINUUL0NnfxULF15Y
8z7QYH/CXn42yMs7FD6f40RbPRyz4t4ecmyvrr/LQgQvbq7dxzhqSMtG2ld0k72n93+m5ZnfeUHf
rKlM0PnKaUPg+Lj59617B2/l0MQnQdNZOq4H3/zNt5HEdIcJJohWLj0NLH7tJW3dl8hAe50NGUYL
AZaX8clguJfQTe66TdKOj04/kVDOxedYsD7YDv9S/XFJDG45zkEkQD//5wYSD/GANhXoHpkpz808
PMcVcwwwC/RkCWONKjgX0QgroQhICB0Mwo1RCMOEUxUXhl7w37foHa90uUXegnVHKEAD4u0wawgN
N0oyWMelRTuaCwaPAOTrOaKzm30uQpBxRogInV+DRCnFqerTW25TLjorinpvhAB9W45gnQ+ezyB8
wUj0/UQ/9q6xvINGFKsEWwbOoXQThUucUuNTEho2bW298ALMNTwQa+tNHG4wlm5i31incDY60dwp
EdaXcR4fPvjV71tF/Gq6nJ7HV+VCXPnzKXSeKedhkfEi1sJbPGI4RldM+g7aPuLSOARlLQr8GD27
drK1UeTqhlC6+77HNTNW1aHMssdudtW1itDWJbS2DvBE8Dg6KVYplI2H3n21CEoe/M55ZqoQbrPY
BeBlxbvY6ZGWBjMhccvPs6fPAxXHB/vCX6QC/ESPEbxP/3A5VP75E5m2FEmpaoz4oXw1JU3/2Rtv
Jk3abrJ08mftXpwQUbxbs0M2uvoR2DScf33fBskMZGey0jdB328GTx+MdOP25Cz9+0GI94chvk8p
wfcwabRpiv95lW2DKTwYaDkpd3iiA7GLTVcdMoGnEm9hhipqZSYJHUa+xAJ0EGT36ZH0z2drmaJz
lITqgQYxS8dphXWkWxdo5Da9vEtLKXfKF/1hDIzP7AHHf1/5Xz5kybqyTIGXlZlR6Z9XjiVSB5XH
hzxjuDjIBPBbmsTBrp0TtfIa8gDz2L34OsfXgdiCr97ZeDZEub482jHIyA+u5/3xh+shdGERH0ge
+pvmXU7WvDBdaro+aDCCsOltM6SYayYRa51NFolwSCpGQz6qaUk/G8VrIpmX/Tqm/Zr0B5opIkFB
v3pAH1zdskn9eeiVXJ5Y2MjCYSb+RvFjGc6IDQOvbQC+9xybWO0JMFsxR38J6Ytg1DRDsqvgF1Ar
lId+a9fRE8C/x39fxy/pyZvr8BlroIDid/Mfb943bzZTdyzZTHF9vIQ6AMLZxuP1PDZ6b+RBsRMt
qdNsXzmYRgArnoNeN645UI56ZDZnYhlq3e5+tJaJFOfQXRX6215XauNm+Pe14QZoRmvSupnK7Uzr
WVIjAKg/TWypV2i18BvU0AcRouSbvh4/GYZBc5kIrV2j7HPlR+VpQdgwfmn1VudBQDi98zCI7G5e
il1rjK6LzOckZ/sVonegI0ZRPfqha3LqA6lHah5hFMTQovsDDpsvWuYh1GL77zv5F30ACWMBK4tc
1GT+W0EGspsQGh+TDq8oioP/HEpBOGy4bshwgjVllHi0geXZxdEcTVKrxvI2pEgnqDsOT6GTNR98
AL9GK28eLe0dRLWc/XnVF4LY72fmHD6qP5qQR6Z0YCSarRlj4EcPeqgvDdMGKfDMqigjUt5c1mw4
H5g9wMCkps3BSwBCpBV0XyXed5LWxwPHnejO1tamMZzslDbKQxiqSVf0VXjCiRtin5uafWZ4tw1r
adZnR6ubxd4r7QJzQ9eiubkv3NG/I8x4XIGLOEODtDezIeMnTCWYflT5xQkW83NbtXeEPzvwMUAl
uDFQHlPF8wdtheD9V8izEoEtpC0WJcWbtz9NJmtOyYFc+JjyQO5XeOosCwGxa7XzVV6xZlBrLJV7
/qBnj6nU6LBNT/1BAVzakCmJ7sn1rlpZ3UcF6VMlvt1NrZtpBTgGdMQXzJrOjtLFIxnT/0mjzQJ6
CSq5QPSNiMC8I2u6vooT21w3Wf/SV5AEhkyml6C2vG1I1utVAB3iYiopLoG+ihunu0yyPSH6yvdx
NuS4OfHXDuZMqp8PGDppcmySHv/ElI7dTZdqiND4oGWETjb25++to3c45G/b1va2UUNYpDNXjJtn
DNZW563irnvJuk2lmBN0uBWuKubWJ0t0z5VbwJ32ruht4Cggh2M62rVXET9crYUfPWvhOseatgnT
e+RPSVFuAg+qWBoDnVQUEXb6IDoiN+jmnGjaoJPx630l0+Yoss+R/po2S6ca4BMZrYF5/s+/QVL4
96f6l6aFb6L29NBvsu45b/V4pVOlQSUwLg3RPQyVxXj33S6Nm2QgvMFddOVqhEyGX7MBdIMZqzgT
pJscfc4NfqoBv/bzCekYaRzkarYT/A5U7L0I7/JSAyKaq8Ov9qGfk5NAhDBOFXBZ//4R1rKf/vl5
LzMQYbHlUs+gQ/3z80a/AybEJRwHwWe5o10xHBrV7uQkikuCn9Y/ytC/xy69Cbt0umYMXGxHQa3q
XqLEmc5cZkCKjIukVJcvaBLzc5H63z64yr98YR45TDx4i3H9u5CGGJhd0fa8LtDpBvxy01M0I1aq
YZMAu4swiyRMzEONkR8TWrgr+JIm/CAr6EfRB7dsuSNv7pi3NKuQ2bqBi5r1zzvm1Y6ag4qUIIRT
i2x8C27ig0XXej+cYikxly116a/bzq8l57dOZe2rrMx63Oi+NkFecbDs9lQa0/lX7htH/XrTF4lD
BJAbrZPe48Okr2AOw1WdqLkHYat+BkMdnjM7Cs9NRm0NN/fI+FmRcFhUAqsiFCaKONyJfKrnaDdQ
5pxB6HyvEmZSXdTXrLQVQkz7l5t+nL/xfiYn1HMMMkbsTm1V43ICWIFTomf596phZ3bMyxL8GCuM
B/3zPAOso1t/FMNDG2b9eZ66BLBvixVxtF+XJPet1VFNFYlepYH64tm0pAKALYgqoR+H5P4qXjZH
tdDKobZ2pvc8JQVa+7w6Co0yta5DuLVRf5jr8atdm9a+ULc2Y/W146bOZSKREU5HsmVBCzcuZbo9
5fGRMik62fFjrFs0Tmi61ioQz63k7YrDXK4TtxOH3jDvXUVzD77EpSuWbMS4g446i/xWBfqubpwL
2oLoXDTzZS6QPfRdhqmf9KNQLVFFPaqzIfMvQzEaeJScDPAN08VyyFi/E9JgI+/IDLI6DMlpqILk
esiZnBhD+GBMcEycKb0ZkGQdyrAlnjTj9FCbYbOBDkhWctLSXki4n6uoDeXWVV1w5qPw9oYuLoz/
rJMctXUaF6OOUPUxNiAVCmxCV44djWt6UO7Rpmg6NizAke8Yu0mAlKD/mX/0+b5fZZadEYulxbNm
Du6/0RBMMJjGXpIOz/Hxiz1HyY2jh8+NlPaBI1Z1ZX3rcF8dhzSDbM6EkpyfwjgrvD3rOtM8rnQR
EUNGPqrUmBfp4cK9gSzdAg3aAFg6MyBO9yPqkSMvDIbszoeO7RffWnLULU6I5LgbFAsehKOqkTtk
SddxVrXXZEycPP05MIYMQTf5jOar1eXxQeKP3DuQYxKZmHs8T9eglJo76CLgT8pjgVH+LOzughER
wAYxwm4ZHeP8B+MCwLreVKEzM1Pm3pVr3YT1QfpxeCSppz/FGUso2zJw6MIQN2la2zcTGFRG5Ndp
Y8444+Ly2pJAKjU56jgcrycaa2i0pvqQufWdsvUXs4XWHmEJS1PFp+0Cs1YWzn525at6rJNtNXP4
CwmEaKNDCtGCldNFPIk+q8vAm/ELw4GmrIBluXbgC18p5D7rLNDDPrEiRY/4kqWkkemGis+tYH4D
lKaLRdcY7ZcJwdoZGfRXxNl77nA9VvLe8kuU2WAttzmVD4MJYkargKKOeOrDyCg5ri33VHF4PEF9
ilCFntTokUfkAMGM66j44Kxu+9a7hoS0lxWazpAdLLOSN2s1OQ3dnKW8T1XdAyQC3t6766a0PrUi
B68CK9LT87e4XaKyzIpUEi/KNknCWcXJ5TOabyA/bUKpEvQHewTxh692a+v4qyjpKlWJ9U3aA/fO
iL6UIYkpEdlq7KTRJm2xQWYlI/EGdkAgSnOVdvWtlYUPlKHfwQ7dxWH0VBUo6nV/y0a2M2getuMw
baqwtegc6E1qx588ELSr8IWGVXboVI3K2aWpE/DqMyXsQNyTQzXzFKIJQgZuyW0F83Q7jcb3tqWb
7mkWDQ/dlBoVkkP4ITPAna3TtnslsyUHDvt65bl31LdXYTLv/TZ/GGXRE/TMxXcePKkRq1Y+PsK8
+SGWuO6sBTqA1oqwPc/9JsG9zB2RSVgzqP4dPNx2zUlZ21/tat3zVgIB5/YgGahrFBMMMUELtXhO
qvJhyocNrBHoMqD0tghtl3tpfqm6zqciWlKW4+7kPyYI67aFi2ALrOA9Z54ZnSJW9KnC/JqFOFka
H+8KbbzYdl5avGatVU8Hl/vYWWQXTGWb0nw1X2el3V1Ua8AXRrmp3QfIiOAEqvnkFwD15iDeIN9C
tsiwo2BcvUmJikci6e76Gee5TI9JAS87aghVMNPoFcnl2YqNi+HDinMqbg7aGWgjaFyY/R37kSHi
QB46ToB0ZWOwGAva+Jotf21VxmdWoBewn9j6G+Wsugm1hcd/y2ZJUQjRICWCCwHAdeqU/SZMkTpj
6rtOE0JGM2C3K4Keb2JhfGH+egrJRO5j/hjOcuS4EKjXGSXcOYlcf2hjKHKEFRb9IW8pvau89zdD
pF6iQT5ogHROnXw1YnGrZtdmUU1+ZMFPp83ueEleAp9fG8IfXSxyab7k2Ej7KWzHZJUD2GMMVH8f
22C4alnuoNKv0wFzkU3+YmWoT6YNISYvPY6Hg9oUZUX8rnfrdynAPONSj/zUPuDGaWP44aXDPgNm
hLKVv2Kpi50GJTQGgCCFTcszibKfwHu5wU7xlFqrVkYXkfJ3+5nsalKlCNyLo5vISr8EunxIMFWu
Jf7Xq5bHjtXbWnHnh5Ur7yaSAPkusKhPPt9LNoXHcKJetAADopqwv4vKBWPcwGQRFa4CzLByBMZo
lekpbmtnZTavsS7OUE8Fc9LwNrPd+8jKOfz4p4z0XwY+oIDIX8+2Bu3ZK+3so1SWV5agBVrnGuuu
ZwBaVnovR/erBpxN/dozDcMAngdYy6sbzZq4zJGIrwhoGhbhi64x/ZgazktddMgfgXOoMnnF73yM
5+Tx1+fKE4w3tYT3EKdYqTx3CV1GLLag4cZk+BmA9u1lwx3vfBTP0qE+CO9F3T3y8VzzEgK1bSu0
PA6QsQg+bgLREdlsA6W2+1Ihvlw30w+MNIjBLKo1LEjf9IhgCW13dVt2/nf3/5B0XsuRMukWfSIi
8Oa2CooyKnl/Q8i0sIlJXMLTz+Kfm4nTc3rUkgrS7G/vta1aIItSqZT6fHFLjDCHKUMYWIikU35o
VDx5k3iEaE3wUgZfGi9lwM/jcFLbZ8RjduWDs4xU+YLb8zP9r2w1wtd59SGoyt2RtTxkJQjUoDTC
Og3yeCoLYtflg6UTw7RabDL4PWEArP/6cU1DdcROI5jXN9QW2/wwifoye36Lutm8eS4FGUJ+KaZa
8CreDK3/GuFU7jmVc2CcftOWFas3l9ua1YpeU2bTJR80cbbYn+x/DpQmRyPiXwkWzLR80lsD1mz2
FFTpU+dbNBT3rPK+4v5WBGCStPZXL9Sj8PrXmioEuqtR71fOtNiub0w9v+lqflrd47derNwTk4B/
3tBeu9aiqcRD3m997cFsveMys9yKBZLDFV4pD64O+aWDKUrKNcyTgkcc8XQ34m+zMTzykZJsL0qi
rPDNMHEa8LvgxzD02mOgHfYAaKGHjiTtWOEPXqCY2NJXtffAM7M7NLFdpg9uea9RVbUvoF6E1Vo9
tb12vzoCdBSMtFBz7rTRgcKjZzYJw/o7K+DaoRkG4SK9qPHVT1vKI+Z5AiMTzTvryMNmFN295ss/
Sf430S0RGfa0NWCeaxv4rrbwpBbe/JSUw7NkwacmHORa0jLVHJDZ0YZ+8sC7EDiD3QvicHW0Ks79
t3YMIGJUePuyETjAODCRWKynujbfycNZNGDT01N3VNHaJZtLQ2Nj4e3cjGdGQpdN/TQB1WzN4TTh
oYIrE1nToTXTbkdNA4+ql7pUBSaMvfiw0i6lRsR+0yhMolin/BUKsgw6+z/iWwD3JlJUZk8XVJrO
5//+g3/L7CsrWleOKJsjFX6DzRLBnwrmaLrz4/odlR4cmEFILZEi+rHjlP4ztSlRybm6WTMr3dz7
C+YBsHoEx3a4xk4BCOnI1nQApk3whwx2nvXkOfN5mAY8Nw7kx32l86HWsD4MMd7MqwyV0+PMz+68
RP+QumazTvbECibnAxEO5ZRSNkRCaCyyfXMc791YiE+RZUnwufjAQreyrfGrqbNir1wOgMHSw3+2
ebgHMB8rshOAOGafAYJuE1R3jtnxPBvQ0YGx1hLBZBhWhnN28WhXfML5G1iW0E6IZOufUvEwGmkG
bUg3PxLebn/pZVj67ZeNnqQ1Ehc0mZIp6N+bBAOdvlBsbqsWIKjY94JVtR0I7IydBcxj+QwykAZi
Sd9nmT4vC5u/XW/YYl5sPTF79jnFx4WENBuUdUg3g7tb0BsFXAqcsSYi7hKIYeKY1AsJOQqYxvXP
LSUofHPdmYDchKto+HQLe09VKhMvs7uocqbdyiGt2OfjndZ27q5QuOM4DuFC5e0u1ooTGkeExQp+
Zdt96IEaDkly3/vElSoYggfPSe+KseE0F/h2NFSPYpIJBULab6Xj9iHTMe1twS7XiYs39U7Mge+p
3JihtvxaZ/bJqmreNZuSq6EnVW/m/ks7EILj9SNJNX/5cybCyXEg7DJnnnEzlNTE5O7dmKdP/cCw
rVnELpsByKc241zGvQdz4AzXuMXTgGliT4K+NdzpFvD/r7nciJ73LzHsGJoxJy+XQ23SsbaBxy00
HuESl5GR6RvRmc5eHlJsLWTsgSzb23OaG8FburXvOZPLp8pnyHX2Fcn1WlfB1xhgXxACVsGqce4B
zHQaAkJCnVl9zQG2OIOfeBLUp5V405iHUIC7sEmYIGJ3Ad8bV/Q2KZAoSxPhgX4dTz/g1kaGXuEX
GQrMTS6gMMq8OI2rpCiqKB6NvvrwLPZQf9Gea6FHWVfLMOdUuXNSD5K4WOY4bX9TbcZ8bZWPxmSq
KFh/7I5WU9B/B0v0G/9gI1bVDq8ybcqQHfe1zjiDjrx6PyvF2r5b3QXUuL04IaBBzi+tl57UbMlD
jYBz8HJWNBb0HUIKYnFjfwosaRnDorPpS7q0IEDuB53+gRqAqLEEKACguCHmQH9yuB44zplqG6jx
M40NbTPFky30k8NEJe+2dpsXU8/itLTMnQU8+NCrP0PvgCy07kGSagq5NA6RmD/bdqTXYeFGqS0w
ICc8OoRKaNmZfro0y+66tvNJBlA9jDMlzFRZ02JD59dAhqTLJESXbroAhzjPoz9fF/XNqDg92LXJ
OEgGB8Mwi6OmvDBIvAYEaXqduKXSS+UgJHWki1xbvicrcGpCCs2+X5ejsVrZ/726ifnAXPwtcLnN
JVUB6zNNb41Cf0VVO7sGlIcxBde0egNU9ux9KcRZl4gRAFZ2OT2nsZmXPwLoNyEGrgb8pnej/gNE
qo2W/1quGodmgvx3KDKk3jW4sanZcvL+poVAwe5KCRNs3Xhe219uQndtuTXp/IeAUyVHRDm88xfr
nSgBEo20olSpvuvJ2+3djieiIXcHB/ddiQSq1eA8uGkGuFHSo2l7LZ2KPYYrPmoPMnTpQXEeYfkp
gwWicy9ZRpp+nHvOIwvGKXrP5EjJQjnj5gnSgZHcworFHZpDPKvoqve/ZD8TrotNHtUohqxmWcmk
Gk5Uzcv+LGwPqEbjfaqCEEE+7FIxRGjI2TVhpNN0ox06tWCPmNyTL3DBrQ6wTh8pW+vm5dhCqiKZ
8DUF9MGUtfiUesmJaLvCZUrF+SCAawGHEo7xV2SomVUJM07LWW6n5YSodUgM5oXN1P31A3iskgJl
TMVHnefNqIzDGvj8IoV4A4gIpEgbDp7vssttFch5dxo6kuQJzHkvaN8rmZlcASHIkZ65T8E3HHhB
xGGy7c9BBAP3SQ4uq2F8jx4Slbck1CJCwQxtUn6Mz7O31VC/uiIiXwGbkSPQoanb0owsRpjq6HNc
0n9DSr+YmvyjWFeLj7346Mri6DolUMDxaenko3IAuq4U0Y0ORaSoWuSRabu9KaADLyVTkFQSdM0y
+cJlElwbORyDgbyrxFE31Sntcu7TzXD1ahoZcy+5ynkM25H9t+yH7UIWThbVYL0qi0M6DgQ7YLk6
f/RvSNj6hQid2bqUzoKjxPCdeGpVvEwzzYo4p51VPpQG38eUIDBpPKVlQtink+3MOVNTcXGt1kLf
T0ZQn4WZ2q9tEPwbebR2ricnNlCLn0vU2ZHPLmcKPCNErfa8k5YTt9iycR8QLdDZDjqFyzG3Kozk
/q0GO+lq2xRKSKGjHL8RuOXTtgrv1jE0PpX/5IqmuYVk46hRHdTCXprpAUxUEtQaPRDDYlBBhood
WuZcclXWXlLIQBecxiCMoLElzvJdlP192q+v5lRU8YBdlO5yrOlJJgWjS+/W4/iFxM2Qblqg3thO
ch2Fyd7uUwEtvYAVQTwFvR5yLKcZj/8npKKqlvFkuY8a/cT7vLhjYNjsm7w3Lt0y3MJ6tbgZmTN2
f4Tw42x38Ha78SVtmNSllnfJF/C91eDtG4nMmfHSdiBqUM/IMJliCLOxBIaRC4I865PAKx4uxvJV
Vqx7wPcAsIGOo3Hpu6hotclI8WgGaqQ2WWffVjUHlxwQO195osthp0rI5uMcZwGWU6v4G+1sDN1O
UmeqDWEwNwCn7PY6d1zEbaC5Ow5I6ZbqMRZ6X9s0/VmzADTu7IidbNPlYnlfk9fn51JLPntun6eE
sY2tscoqWtKJLowPbJifySZJlE6Tc9lwuCTaMka2fB5q/7utv9aew3IdrJ+UrD1wsh9285CeJcaA
w5g/M+eM3byZd9Y6YR6oXLYvjlo+OnHyVVvdxXbKGTR0U9Jy0HPOGWObApUdTs+91Kwrl6qXWl9m
9hewjNxBADNTZJHj7uVymQ13mRfkB3obMVabFy/X8kPqMIsBb3ftB+MB4ezVTTE28piQBcq8Mwsk
AfcUNRAgHgGhX9uCSIFzlGIFskBr7t62unayW3HXJsa3IHo9DOlvQN25bg8PNgUH0CKiNuN6NcCZ
dum85CYEyvezAcmy588LWoHc5lyRj53QKO17S1sf0DzHA8j4LzK/S2zWyamutTslvPvWgDsqIIPh
Ym9uZipYkGH2xES3Y3a41nzUq4r81IPZmxTfNPi4YV+kV0mtlMV4iX36flD2RcyTfWUyd125XWC9
Lk9tUJZw3KBNJemVGqoA0nbo0P8cW3pyW9PVEvY+TmUredCzBhhTGlZ8nzGIbVad/k5SEHhkl2SM
S+sIlsvi5NsL4P30neersg5qNbjFd7A0ur57qQ215R4hZ45O9esH3W/u5Dy9Bmt+kCmMNTUZ1L6n
B8f3HlnDvjvqDyf1DCS5YlfVEX4nAOFrPf4W1XwFWnhsRfeJUmXe2nb5nZTTN/o1zNaa4YwL+Awb
M10Eel3vDcXd35EcH9tE7+gqMut9wK9+FR8Y97iCUKW6jj9cPOeDaU+fplwlMXHI3I2ymkvFcRMv
oHkuW2eFzr1xSvQ/uf1tfRj/daNbHPoO0O4kMZZQdMSUFqjAkH+OVeeBjF84nVrSI2JW75hLqBsx
aZ/zRsOxPLAG2jDQ3WL27r5oilcHQ5knxBq6Fu+uxqGtxt0bE/JlTi5BXpZvED3zyEnsPKqGUNEL
ehjb7svU6aMcVsD0nWuheAPPDTqi0prFS9myt5nUMJn5jdGhgyl3fBlMSsI8uDkkVzydxPwtNy2Y
e0rSHTsEaeg6FDNaeV3uk7FSUUXrOHgs82EaPe0CMBoopWI7A/1oHUVKV6sqxmMpUYyLDChfmjFb
xSDfsoIrrlHBcDWXim0146wLTe1gd9pWBrai/+pP6OCdtoWvJABGs6BBx/VebKqladnIZn+KXFxU
jERNCLSth4VwHuIUFUzDO3XjDP0NzQPg4VgMcJSQjS+Ale4qVTwswPQjPYXsnzNqkuIzSBS1sZnG
nup3YeVpH7D0ZpIXxTenbP3szFIJ7vT6EM6KNw2s461nd7eVXg9xoeNQaFw4JiuRx6JCp+Bi6O26
3r7yQ/tnmqy8s2l2v7S9V4dBE2QnSYqBq22RUrIGoaMd3YPrmN9OtdL1tiPVKOLA1B/ZKm5W6jwP
mL07qlVGO3/IMxIotP1wVbA3nY9OYr1G6WC2OrTrWRpBXOTB8hjY7ckzWIkttYioM1DKFgAH0VLm
XO4S7dYrkauL9G4Z7eqg6U53yGSFDlk3xaddO9Apveql3MxAQ9m/0zWuCbGzNBB1W5Y5dACj+s4V
Y/vJUd7P6CaHJhBiw6F+E2V4hPo5Anr0t01E3lhk2zg9PxoNQF6VXkx2jnywm3/DNDPGiYBSfgKO
EJFcmNgxarRuWCEj35FqTzHvoH2aafMLRrNnfoI7HfXa3pIsgMfL4tJbXIjG2bWjbIh6s6NnK3dA
ASj6bpA6m8xmVjJgnPMgBrprdle13Rn4JFv+LObQ9+XZGqbtl4xC5jTqtnKMf9YyfgQ5JzXgee5e
05cj0vtrzsNDQVr+1lbuJxuEGzJAvBMWW4XsecXcdeL3g67rOzTMYnxE+eoDohDknrJOAwe6uq95
NV2xmEDqmOw6kt0177M4IaBpNCVrAU1F9ajdd3X6Unk/ia3vAiz0zMNxunnCJrzicIIgwYteTNN8
lwQ3+nznF4CUR6fW4qLQj3YKRqOWmLqkpz20U9/sp55/wV+yn2aRtxMQ/9jXGWDUPVEPrFtUslkb
t3AUf/ReUdWmFV/AuO1jDQKJ1+C+cmsQyL09R8Osv5V2thxc4X/3YBs4y3DTB0NMFzAEqD0HrH9M
bJ9dUzMvOHXYmSgQ7j2biMjy0S05h72SXbZjH5+CsoPQM5gcdBBvGw+9trokMnhyhulm8M+tPXEE
5t82NaE4yDccCW3i04aIfIxUcvRe1jTlmYDh2pUvnTs8NeVmHEkcEAwGSf15prdJs7DRMcFjFBrY
nynWqqihXp739CydUXvFYgyeg5wyWTZJb5JFFmlnkMQDeK0f5wX3qj6O3clpATy0E/flvCKc5NQ5
IWCOnLvGLtCrSZD1tlmHmaVVYWtqLwuH9jSoHVBATRXNtcHMu2VfK6nRs7c2IVZvky9I1fciOpRc
drVpdueIjHcM4lAH3MIkVB4WH+aMohDBcJmFORspwhqK8yLpdC62BJ8a+0tQ1TjDUmy98zQwf833
MpuTE7r4nZ0ZV90y3/N6bC+ZlsJIdLxHTXb3VW9T7qt5FVOZQj8U88rW5onDrLdaxBp8moxrkbIq
G+kC2oQdE9/uVQvWNyEpIeQ842hBcZOD7NYXanQ6m2lOMevfElnwaCgf8K1GPmXMRlrS7a80hcnb
586N4c2h2mYVSbO5+JX69O3pfuyWr6SGD2yM0ORwgNGHZye3xCdQo/qdbIbiMI3Bm9LZACzrc+w1
bcegVb8wpT+6InWODdllr1uPUPGC8zL4P0NePZv+VfDfu1xXoUfXCL3cpODr5pMeYwc9YYfuIswW
l2HA2VYOscHMCU4GGjOq0YFhbEaLi/6Ixh6lY0Ay5mivnDxr5V9c6qKvGm2GwdxRi+1p8WzlDrt0
jYKc/3MGoyFY4X53hetxZF1vS2pvlJRhw40G1AuvLKHWlHOB/9dlgkGwzXfH8A7dzGQ78fHJHvFA
6rHM3IfEpe5XUU2E0MWEwdUtjEMFF/DljusBfBik67BftPLQzzMbdT/GBnQUgrHBeqCDjNCXM74G
ZAsfvUq7CdRy6qXu3CKLHkcDjYZSjDfTrxZOhC71hOzPYIbzAx6tc64prHtt9dI2pReXlfEyrJ1x
mVBnKXDh3r02vzbtBXnTwpzZonel+lx16zsQlCR7cDoAR31klZqONrLTroZp4I6Fw8yr/SoXaAIc
tFpmeicIrVQGAEpquU3aqcsco56fqV670QoZBcp/BsC8YALRkLbQHsDM8UwHHIMw9JMT6bIb3i+W
nIIhvvLpqFeB9UKgjbyk+4lHAhFiKp9UxlWl4mHhF0N8h0OT0fzzTfEKHImKl7yxTkM53rN5MlTO
mKZ3iX/rji3gAFBYkLhB5vn7EcA3I5zx1Ag4/pWFpGqWjE/dzA0dVUV58+fj8YgzCZN3WMYftyi7
m6QB/wFskMh+sY10uHOuL6oc7GORRpbPgNuuyE5alkbGBY6sjcJAzvBxxGSztwfrbmyHTwJ893hg
COrqK5rbohiFcU2Wmf9LW8JgeJ+Vh+JLnuxA28Mv4zGmudAbDGm9B3o77pAf/yBO0HxSwnT3O5RH
k0ygY/o9yaiTR19i1G7AHVpw9y5Etj2tnO6+pjp7YtzKRtxRrMNVvNSDAxvINUtFdYDAxb5Xuvcc
uC4KVM9u8E0iliwgTCiYAw4LfLp60209g9sLgSgOm/7aMppPj4zO4HZldvEMs4Ds73CHdRIV6D8M
i/tQ19tImklllIp1iapufgEXH+U28Kw1r99biqzOBkzcfWuifMngqHOI3q0TeTRbIUaRM4wqo7Up
gaOcnrH/HgU/xL9yoOP1Ny80k6fN3K8iecqZ+ZHcpBWj2ba6TIW+ltOBpxbSApb2mPf0p/jnnK0f
eEm5KzNmjtz8KLdxPuBV/MFqypiP97GPtoTZe3WYBVn+J+wIomHdVtlSXZGzPvhfQzOU2h9EdsDQ
WX0MFPWSvO2L4cTelI7Mz3OUDJoqdcoaUQ9EZCmO1YvECjJS7wVL8oW3Lh511VIpUhLYUuXBst77
rH/WR4ToAr/ozqYrje5P7yPp+gIcxF/ddOpDLvYJJsHz0C32OUlNsKrpeaAdlBoX9dVZUCW98qS6
64pcsxmGCuBhiEJMqoq0/qwKBTzLaKx91tsna3kUWv+GQe234c/7SsQ906mjW8BmsS2DURSpOVY2
FMHFBf1epdNRte1HhRHgZOUt5ZAc4bavYedBGaepFrvmdOMZILJd+9uwKeVC9uulM2AhoWEtGfj7
WVH+djZpZ+qa2Fv7JxlcDP6vQUIIaEh06BSABP2lN/S4WPN7RwFz1nSU8sxbqP/wrIpQkjVSXlE9
SI2GN1TOPZyqeu9RqUYhm4WlaOp/2cS+cY7Z2H43DY9pg/OJDWgnCi0a4EZGjqnFuSOHwzy/KXcB
CAcweBzXKpbDN+hvHeG/p3KZaSbx5DRCs39ihI8h3g91OfU3AM6avCAvqNNuyEj8lAfr8yL0n6Te
EhiGD8t71h8DQWWyh/+Y0+Ar7JP3wu9/CEfWcU/5V5q/TX7wUI7IRTqW3l1pQivuF2+fWfwm7O2F
E5JKTn8smbAjdTGIkDGggz7UrR/mTwaqS7JNRbgmdwX8P7cSqCvMOaGwFCHzgRO3WK48cgv+Jm6w
nxdySVlWR3TZ8R7NNgBAeSp1iP00H5Vur0cj7sWdO7VlrFs0V6GE2HR5AZ2w3qFYX3D0z7tGKxlg
uv6DN3OOJseAZkklVRhQhOjib2Lul0V8HWbcFh9xa6utpqc72iIb41VbfrB7DE6J3y0pqVCGEFD4
49HuYURXC/7e0keQShXB0HHhrsv6ElQQTbyF+oYG6THfNEJm3GcCcLDOHXrkfHpWzosonysDNHa/
1szlEvchVUbojCMCmm9RDOhZ8eq7NH/MOGZnGhNmeNhk4n5c0Wxd3EgCOIBCywAy3gUrf8uamRKh
cs60FENenWI+CP3QFwFusKH6gK7o83yB8xygSlm1wysDRnIserZTHU/t0FdggXwYSB4+N67QnKLh
kyu9fJkZhaNjGZ/cj7QhZ79yeQHnsToHWIsiJZkb5bX+KvKkO7D704/IWt1JRjFgqsQuEeWdnliv
rL/xYACcK+vls7UCSsKN1QtxALY8nqzns4MX1tQRe6vaf5ysZokTHCPcTPsF0dfFWDA29OfQS4C6
tTqPY+Zxz115tFr/lqMZJTqK9s4+UFdFp8RmALuKOXghxrW1rHbhSvO2a712/dafnTd8qxV3oi13
e+nb2T9387sgHbTnueJNRh3ZtTpdgsmqR6mnZxFtxds/hjjef1iVo0Vt3cRN5bR4GkQIJ7DGkoSh
cDJylgN/2fqpUe/pr0RB4i+3bwxXUwDxTDYWpuNV92pQYHHgIEcAb6WGr5LYqaRbHvGj8tCb+Clr
l71k0BCgbJxwslvquGumW0o8mJtqhREq0DpYsmtot9QSpMpCKab2cUhIsW7FxImL5cd1uCUlg8/b
xGebjvU/S0vfZsv/JxKuRMbAeKormuces0yI4/fDZb6gKMNjS9UObmG921XjRuVCUwpsBSbwerJv
fPxjAv5UlDMHZ8+CQq/ja6ogoOyzit9fajdAkTI61UriDgennnAlujXXZDUnG1wW5wv2W63Ljzn8
dIpaWWampeRU09xV2Sj2wB0dtIT2sTIb9B7e2gyMCv4MxqpySm6Hunv3UhwbKeB3ulxxsHENLDB8
8GiemLwtuw6D7MFkKrkzrM6OQEDyXTteHrWzdZQzSqLJ3DdhIBz+t1T6+cx7HxS7qYWZnWXOv7no
j5NFi1jV02bfrG9ILcZ+rL+8CkFtnuptl6VWz23LNhKld5ikEdXMOoGlutZZsTxC6EezGHuQWLnl
UEsMcC6f70yuX3Sk0Cepc+Nn6ebk73jdycKfwSVt3FPvgnC5hcAzdt4LjzkHPcT5nYvRCjdvDV1+
aO5FXt4MmbNcpDYRHE7xOGxg/rrRqJ9nWy0lkzH8LtpxmEbEXafBjWKuMYIb1rN8oBnCaLbzLE7s
IcYxn+0DiTeOm8eB4X9xgzdaBOUFM0NyhDLy5I4BLTP0Zo0z7MJ6ylBL+lzescsbu0JAucOgArGm
4irt0N9acqg+1NaYHMwUCcqdy5CkG5dxq3ujKpUawQn1ojH738wwPwn4g/svFj1M8dY50j3VI4uA
oo+D4TDY33zvps01UwXdbB1GhcHscZhgJoiM0bxbkuucANXMs4nAkF5oOBok8B88HTgV6HSthj6s
VfpVYcISGnFRY+QOi1z1blp0TlQ1p7RqE1J8ZlKFLxn6dzJMPa3ZKRuhdTBMph5Y1SKi92ycDcBQ
bNKh3yt5djT9QfalvNoBbNiMGorUZOaPNf3dBAHa+JWMDL/vTwSeeZedz9WbkW11lGm3Vc9dzqUD
dB6/Rk/d25MaQ4XVCUrswDXEoiPEeDRN7Aw5G2ns9uXEnsAxHFIVRCE1ltvS80YpPa4RY3gK5jQc
ZPC98SHHMtJnDIdKt+YDDlYyx2sbTkl10HOUiqymYYPF5axpwcQZeRxAbAecrgxUVjXx9UA9cKfg
tPA8q+CG7vfIHLXnldkjTaZMJOBUlDCH/GY66gGpMbCGFdcP7iT4cF2m2LuyxIGG0/2l7Mu3AbzC
npCFHpZ1iiXIr281WHupEzDRQIfmoJvFmpdUDOFPRjr+OkuLzWoTfJ1qsx4Zza8r1oc0UXC0yi6a
IX7uV3sN9orswn/HmySAiQIodqDTp3vmcVxBvSDlNDDK2a5oPVXy2+uXDz+5G1zuXVKQXqrXu1qm
AUogc92mgt3bprRtZM/kO4y46hgDVNwsssxAUMm1AcwWv1bAjlws+VNFjoOO1IVyXWguVaCjdOcq
O5TeyBkmYRAtEpo9IaRcNK39oJ8iTl2urYjlnADZSBlNVfwMyDX1/KL1+dHmBBqtCrtDUtnDuXWz
ZCcZY2uTxJEQWJTDnfBT2vvFSp+WHiVIW188tyrCHlttR2KOHd08OAM95ED1ll1jWENUKfYVtwSk
hwnoofewcwjNAd0ick66Iq6mToQdEVPa3xreHUv8w2gNaqTMf9Dhnn0M+iNmvauntXed8t655lFy
ujl5GPztzXElZKhaPcrLMUIAJR6gdS8iM56HDOPnaAPxrYTz4OcFY9aiv+IWoyopdTsuO0i+pkJ8
chBraa+NA2ziG+x43PMLnOLCHR9zxkJHiN5fVeD8ei4tbrVz6cr5u66KPjQZUXNBIJ5joENjjv7i
m5dnhQ99x9UeR4TpwAAzqOUZs5sqF59ugvzo4WzDN6bWez2oInlB+/Dv2iq/zyaUMz+HiKv75Xuy
4CSehKATQPuyEgCxA71ou6LaxrVlfZ8VjvPsZvUtIYm/3ESdcYiEfk0+W6AD2rDG/BzN2nxetTaI
Uwcn0iDz2y6nL2zVuxOdPvHsar9Zb4g9ef0hgjODIpC3n3NnWRfUaORX3b8D90HFL/gZjaqdo22f
QLROeB4ZVU7mNF3Svo71NQOhiNzbFFRxTiDBiAU/5g4VTLzwdMWtmEJ8+CaHtnDvwB0Qtt8y0BPs
3ztrHO5mDEghSaSXgVADE38cVvrGwMYrEbFqFYdBus//fQHTGW/R5oMQnsxyySTfBsPBg5dY84ko
cRutA0jdjNRZpHG4Xf3Evd0gBE1F3+fo+7QKOUxnRa5hbxpQeetxIs7Et9Z07La9sm/LsjcfgsQ8
0Z5ZxiZDyIMyl/KwupTs2PA0DS0HOqxtLn+8HD4qG2XQBxckLcWZ3GM3Dcjr48VpvAi3Rjj1NWpK
C1s15Y5U+3p/EhYrqZC1CyIYmciz3tLFdCIiSXjouLMxRZQRXv+CvMS6hm2exP9RNltNFHuPL8Ux
mr1dATXaJ3pphzLn3GwaeXZEb0YRK58codtRBWFsv0wWdoahuQEBezNYSntuvjRMwREuoOT8H16y
7G7LrPKPtGw9Zagosbl63sGVkDXyXDdPuESvhZ7oHMNWmAPdUBBNx0gDOdRjussuFHSSkzyd5mFR
K05egPtTnSRb6RFOKvCItbl+MrdagpWKvguFk/U+qTO8/yoIwLp2YV4x8yO/QM8jWoJDtueUGEqP
vHFgT4QChg0SeGlrcvjPVqpek4QS496msKxrJECgYrppdG1kyoKY1/Yuk4RWOzqzywrRzOvWzVU/
Z4G2D4x7GoZ5t/vgMy8NMNVF+hrU0iIRbHxMy0Q7Z9e+jtD4b0kpo/743n2JPI9d8Trni3oi7I14
CiIs5Yjxanv+038w/87x/8A31HuTKW+KIn8zmiahRqggk/JZE1I+ViMlUDNIBKUi/S25/96uDccC
c+RxGcDURcmMNX8xEnZzjrPv8OpPlSFvFwUHGYMpR+iVO0dp2IwPM1l85pW41tp2Il87/+Kn2EUC
qz1WluG+zX22R7JL/tmletcKbpKu9WBb2Ep0YtS08BnmXWDW/8QGEkc1xf6vxHgriSfkWwwbxd85
esJ5HHI6SjoUfIOTwdnbrI/sYcYdfiYH10YWRO2w3oCEF698Z/otWl9smhAQV99/l4xoOanvmPcx
18KGc2kaDoFTab3Wo2fvqd1Necn4EDnsDLdeT3bBvKfyo78XxFJDc0z6KBP+ELliSHYohs2lTtMD
JtUWZXA2mefbz+5sT3u4uz02sfFGs2ZCErN2qP0M1W/0i8hqHkkoTK+cIAEDepK0gVvfUK/NNQdD
uN0iCo0vAE7sO30SlJFwW0yV/d6NTE5bCJy7VnhByPVbvK6UuHlO0jzmWOD6rNXjzsyruCsm7TUT
ZhhQBLEWeAgSnZkjeRimfAg42pFMvf+0ltzqx2E7A3kBLIXWsy8GJoWFm+CPtkUHvEwwNer12yEQ
+V3W4DeZGjaHeaY0U0Aqu69Guw4TxjJRumqPRqpNV438XpyqnM6y+qb0MIFTxStuSlh7GEa5Cc8J
nU9NWuNw10yKF63u0VvNt7Uvb426qw6T6uBvbW9pQPz53ijwwc1/FSJ2GozGJTX++RA4Lz1uvnXE
9+jNlhFWDgk8li55yuERIE1+WEFjnekAoXp88P/H2HktyY1kW/ZX2uodPdBwXLvVZpOhRWrJfIFl
kklo6VCOr58FsOcOmdVWnBdaFZkiIgC4Hz9n77VfclTZlcFEUy/yehvk9kdVjPWN1/a4/jxb24xD
0dK2csa7LqGS7k+DT9+0yvTkhiYMTvH0wmiC5Eg3atw7pKQEupvcIQQ5G347kJZGO8JJ+gdl2aeU
k8xubJiYglNbmaFmPOH06vYZgAPbHfQdIum9vnBUSACyGaug6cinTaDUW42A/RJ/fLnX+9jZRAmD
/L7Rv8Q2lv+5m+g4fXqblp55YUZ6fvbaiUDfPm63Ig3Tgwn/ijooKHYcwOZQ1Li/9DmKVZqv7RgB
cTi1GVxJvT/1AmVpy8nHMLX9wLOwNxHJN9Jdi8pJdiRWmBtrVrLz6G0xNyCkC0V1XmiejZN0W+GO
UL7DDEG6EVjUVFV0BgF1qKbqS9E/Db2Kb8K8v+oMiEZoYdCpUj6DTuifeRjSBm5GzmRmiGd63nxz
JbFEeEVU7H2qRVuwN8ekrYl7h1voNl1zkDazASfwtZuRCSAhISq89jtWkMIev1hpfw2O98i5iESG
FjC71jqCh+gSnZTck7UoTzTgX5M04S6Icxtpwmw9S1+bQLMYd3M/4Vuh/+uX755uPMJv43HNs5dG
SedIkgAtOPfSNerhEtUI4XXkqK3HFkU4S4t1o6XFF91kJ1eAy88Te/beUXG4S9r+iu5fei6EKrex
T2AhoennokQA7tFb7KK4OWkDkFPkm4SV5lQflhvfp0mmDjWRfrgci+Jaf3cnAnLo4alzODIhoiXF
mI10xYvK7KP7pmHCbMXDrW1r6dGDw3TMHaZclqTfaBeZhjAA41QS1DQS+54Kozv3EzKGaBzCS3Kb
/Z3f4Xil+L4AZNORtFAkg7+NAtr2vv5ap4SaFnU63iSBOBTY7J+KFBslDoB528NV01fJY261amN1
AL1kxrzHIq97zkDA6aR60rL9JFrlUXWOmAVcuDQ8LgqsnKkkt1WRn7qfrKk6Jbn4OlI0rcFQY2rx
E389+ATUgP6t1kjtyWxwOcZBOf7a9rgaIcFspN6lb0PyRDRygO0qNlagjd+lBW+2iwJ7o2jCojuJ
qM6t5JbAJ2yKnO14lACQhLJ9wnV+0Y0efbvEvnF8OV51M+atikqUeBTrHufajhBFhr/kNguX7qtQ
tOgJ0eqP+WOXldpHqcXHuEm++77ZUZBoiEzzdviiKW6zIDumAlZKJ59lnY0kJDHygB3zoWOrYEri
UXaoPFxr+PZ4KiiFlUKaXt57mubcxu5Ij8TkE2JGiheJjHNTvJot4G0jjaatLVCD+w2duTh5cOyx
v7Z5B27dX3P1HsKGRpHREjKZkgcsDeeqYVW/ACLzjhJurTBkvtps2MTkvjPlNh41Jd8j9lq8Yc8R
9oXncUwfekI0jw4CNNwFHXN0T7wwrF+rHE0RnPvpZZj/S1XETY/EeB7DLCCOwJ10rH58E5JWllON
ok3HyPFN43zTT7h3i0GkV6Hs3+NsojBWmr/paHee7BKWNkyTtebF5isinEOmlccxG9QL0LcNDdyJ
VlCSwmy4j0wfZb6TykPpM74tq30YVPlZN+nKG3NWdxyCsK1657KkcXk7MX4766BlXBo1HY3EsGBi
ODcaXXbcDuxVY89qc4c6cBq/EtroINpkdqpVc7vQ8Y+VFkeHvMeyEh9h/bJLSrB6E8XdRWQQDmC2
3QuH8QhVrAXkTdXVAaDtS1Bk6RFfT7mrpSy3KN7OnPJ51znRjibxFxeeV9F/Z0ijFU+xU4VEfbHI
MB/ACRa1z0k4GWcD2nhMZVNmZc5J0ua4X9XpZiLHSqc10WnikNSDf7LAmWMqIfUnCu9K6bgPHbIm
xFrFVjMLBUDAn048q2+55nrHBMl07sYaH2F5mQf9PXHbgFUDnti2G0hNsYvXySjEBn9sEyhoGAhu
VZNrR40ELdSmnsenIKurTO1sCpbb3OByeDbs3ASAfEFbZh8XNFjDRL8cJ4YOXEpvbaVkxJPl/l6Y
HRIVRTeORJYL3Sixk8cC066XPmg1PXPOnugDqxefKJNdxGatx0BfNZil25zlpsGhi14wOhap9ZX7
gnkubf/EtNW6lcXGSSNvJbtnYeMuBdxEl4FXcgGVmqCaLvouKCT0JnCu3P6bCWSCEOI030P5Bw8U
E9fmSyTIlkD2MpYPHTTCXe6qR45r2taZc2IHJigryO/4fAHeb9UwC15kPRdTxrkLCSQe0LvDc0Ed
bl9ZSqr9VJqvoKOxv5j+DdsLbRjRdLuw5XYbjdFDHp/WJ09+8XDcXQlT0ZglajhGjjhXwcmqdjQk
DdRJ0AC3uq7HqEtgJnqR+qIN8b1Qs9qiJYE5ppGa28g68tDdWG6eHVs2O72ZgHsN8NiXLT3zGIh2
OjiUNthP+nJkoixEKfAkBm6i0CsSbjIGLrpLpywyuF0H2iM7lcv3QYCXoL95FEb5YAWkvOk9EFj6
8XTS9fDZFRyn4LnlD4IKhU7ezHeRygz2cW7JU1dJ804vUW90LQ7nCL0DR2rWqJIpSqykfVZOQqsU
gwA5vOZ6TODgAAdYLlvT6UxOtPK+LnlMeHRTTsYg691E45FGPnUqE5KaAe2TB8tnp4+Qk2OEUXjf
VlbSFauGC08+tz7da7HCTxhtaUP1iAZJOVX2OanQRyBNja7Q3TGq0ImxGaZI20SGuCagapbRec1j
7VhEqwaPUdNcsQ75NuJtGXPIjzjFrCpXQ9DqBC7NYgLz8Hggu8by7nNs8q1TlRFKgXw1GVFPWUm5
Ua2jrQOEXDtnku5ZZumhJ0RIq3vrtiFybFWpo3IT72uPGsxpXpkOqm857uqZVAGOiVKX2qklcSOA
HxJF+dlItX5bN89xnbeXJBRbBHAFbDQuA/7MQoVVpo17V87EYmW2YKUwkilMjHdeiiGUeJr4DMPC
N176ti1u9CpK99loNLMc86YjJOJ+8CASTiOapZou5SXh6sKaNqBx0X7PdYzpHsklMd7FwPBJ4xei
9dNu23n5SHSjvqqTQT57iKNAdirnpo+4UbQWZLcp79I4ZLQMkGwVRHl4o4X5UUuyl2LIivc4MI9N
BgxHH8Nbo6BpUjk+gF6yj+aDyt9TmRYW3S8kJOTspFQTCWNyZjaWRL+fIEVoS2PPw8C5YpJH84d5
P2nKFEvRBoBZeeQomu7IdmAhQOBQYd8ISkwJDVnjreHuI1LpNr3/rCadKhLdZWWKXdPBmQxjZTB7
s688aMoXw5w2wf61bqm8zxUijE0rJTttnQ+/eUfiL1EtHkIi1xImHBrf173PsLu0842kpC2p9OZ+
NL1rzcdJwqDTBvixSkeP5inb90Ej4i7Tii1LdbzjrdW+kwDJ0usrnxQQAsDNMbEvjQRNaBDTZIg7
evhSgqkuJusRDYt1RGwHZUQbtV2Ym8512Pdz0mT5DCpbYqLgD81m/G7lrAIqsYszOZFHcWgdq7yV
eVgdc4v7gACZ/MQc7lUgrjxyMmECU4NT6Vufxi1A/VC5102Of9hCcrbOPTu8jLQRHKwODqbO9ffe
zkb0qkhEMxCO+5hXeTSVeVq+1LVeZSbkQdZ4dhmO3japGq+QOjO1Ln33ZsJv4iDiP+ch6isDSjM5
KJuW08gpd0rj0pOT2MA7i1eEf+jXDvOprbDJe0+EeagVVEHVoST++/vS+guzk6sIi882IRZacyTu
r4Suip5PQosyXgE9u2mtRuzDORoSC8lZC3FFBERwnU1R7EBoteTT8+gXBiHSsYV/3Nah/LBnlD3a
+4zgA9iQYmQdTfcdvv+rgHiQMCaTkcYZYXlTBJlw+DIU9gMern4bd020Hu3uvmbNaCx4pa7VovyX
cP4k6jybNPtr3Rx2cAjFb9JOjP90+wqPxCPd0aG6OZ9uX1cqO4FjOl9sPPKUNuVuquqOpBdF5LnO
MjtF9Fa9zKYAHXw63w7H4998+v4Mc/p1WXCAl5GRbBuuSebRp2gCbJP64IYDircmZfEJNaCzqI+A
+OqPs54J5eu5ybqzNzb6c9tPTzguUKiN4weu8Sec4f6X3Iu+jmbl7maXHfTrGoP1AAjwgNqwvmgn
E3sa3W2E4fkKXBSUKI0CfNK6p9gs39wJb61nE5I1kGJgk0OFtxP7aYXmDUs5ffG58JP+iX0P0URA
DGUygBso+u8DZ/gNJS+sWXo3hY3xDyUgBVgnr1AIXUg3wR0yxGDLxk2t1HCwAgwrHSqtCTvm2qnJ
ZXJ8rIBGTc/BpEPHQcxd4UZ/zOIvKkRLa2P5XKUJzpzWt59FRExSyl8H+uyhZ5DWTjSinFJ7my9i
SRbTRUd9foG+rKIFiRVeYSmfsAmmrAJE79yFlI8gU2DyTvo1DTwGxhHzaEzgeF2dfSPhZHYGRyPG
xUGpcxIQtkXn9lFHS6V4A5s8Joy3yyOEQQHAtML1N32vyTU4mDm89w3pc7KRDd2ZyB9eOoeQJ6D1
9Osrf6PH7gNubyRDkF7iOahUynyVShVu27maD8PqjLD1jCnsLjfAnMuQIFzwcC+OwAE0ryxU2y2k
KlSDLdWgYL3vBEJOJEENALyjl+K3d0f68IkAVWHm75Wp38wH6tTsBPge9EWB7Y3cCj2mds09TmZx
kzRCMfYZ9s7kvukNRJ+wr64HjyDjpniy9fpLrOG4GwcowhYq/7Ab4pXp8HtNXDzIdqtrEzrHxElY
4mKAXlOs4Mzey9FAO2ci0B2NqzrPR5SdUb7lJDp2Hh+tq3YEm1RbvEnIGCG5jjZEgN6pGSB39GkH
0nHwa0DqKfOo2TFgRU1NMAJ7TCuuy+TRaap8l3dERNF63OQtSuWu5rUJv5zuOIpNd8LGj6uyJDmC
ZkYbGT0UcNH3VYVKq9L04FSbXM+R7tMW3UVJxncwwnE0oQrF6W4Ke/+Ez1S7Mk2c2fZQHirXzy/D
YMov++Q2qUzvyE2vn9rSAgBhWNSpbsrt2Y70NIqY5ksWpUxdHNM8OIYZXvkRt31qVy+JAeZhKGmF
ds5qXkZ9NimgoC5XleN3ViK5quxZ+wWodbbaUeYNmOQS/7riOHkd9d59KdEABMpFdj2rKfTUZeSW
yWvfRigQI4rZFJZdnOLQfrCMIbo2o/x7r3JxEBmFWdgW1y1RhXQgo5WjzKu0i6pdornAWZyo2BkG
oogYKMIBG+3szkbi7QOHdQNiHAoUF8zbLlWmw3lmNLllNOluhNV/w8aP7KagmUR6hkmu50ef94hd
Ohvcvi1dsRWIDIyCeBCS493+whxVfyoAGEAgwG7QcYIwYloqZA7cSUGrYozcs2nOZiuUWCs3N1+H
zrEugY48akMmjkWcIfUKQWvlkd0c0F621XggBX6+FSgq2l61eyEohRDOhIQjF6+j2xAOhGIPRgIN
n3wK4puiYfoWxJZxxo0unM5l9mgDlc/z77Kz4kOcadVKBO1NYnEeQ5HBAc2dHrDCN6cCFTDmyrH/
kpRbD91RFvTqpgpc5NyJg1Ewa5NTPLTqIu3q8VYX4aZFOHEPJKNrkuyS3eERwqK8kfV0N8EkYkVs
D1o5cRbGZDK7zvkERZBfxn31hboCjGjsZGtPD++bNnmdyhKOo/VqzeMx+rW4GqJqXSQuF2xIgCTE
DSk+vZHRJKINvEAhq3S8rCpqlpSktZGJ58aTAghgXT63tSFvYbSdVMPtW7hRsk5GOreEyhSrbizS
Q1wyu0W5CEhbc+hGlWwrOkSS3aTIL+xdHGko8KNnDNcbzwFJro+Wv5cVvfO+AvhUuMlz4ebWRqs9
7mhYEnGCXgPQZ7QpTPrd2oAqsqhF/lDP6Z9zq/Xv9995j//L7mvZHId8xG4E2/9a/AytUKRh9wki
bjAmkjhNANbZgCekMfbYlm7dmBJo+Z3/6+v4X+FHefPjx8t//Tf//7WsFHPGqP30v/+6euvbj/q/
5+/5n6/59Tv+tb7/3w//+F42/7i83z58/spfvpEf/u9fvn5r3375n03Rxq267T4adQe9KWuXX8LL
nL/y//cf//Gx/JQHVX38+cfXsiva+aeFcVn88e9/Onz78w8XnOD/ZNDOP/7f/3b1lvNt67cif2vS
z9/w8SbbP/8wnH8ajudA8LYYUJnuHPo4fMz/Iv6p41zwl9g0k9p4DqEqyqaN/vzD8f45f4vH2gv6
1bYdrp0su+Wf7H86UAwNDiW+63pAh//4v+/7l8vz/y7XP4ouvynjopV//mF/4unOtGIa+Ix8BIcc
8jI+FYqabBR2HAwWHf3FsKGF1+WI7m2PnBkX6KyRJFctpKtN5yJDY/GZA9aVn4bADarZ6gwrwxrr
k6HqZDP0FC1hgFwpVtZrUgQvtZVz/G0LRAmZyY4hg7uu4olJRHtrTKDy/DnVFKDQ2dWL74L16OxX
2msbkQNhB84NBZyLHFS6l4lg1CdpZQIjKEsPGmcGyCNrfvPQiF8xyCDxhGM4PnEmBhcGoPOnp8ay
08C27XFW0kzqWJft04C4Y49KBoRe0Rv7Wpve+iLDExMYx2Qg2cM0HopQevum1dYt9Mxjq5fXEnLh
SpE4ChigO4M077e2l546kjIxjDB1GLv60omraOPWGCsucoATYMkUO7wYLsx6V/TvkW85qzoVx94v
cNCVEO2D8NkiGW4rOxRVaoo3PU8pdP/4q1U8MeB2VUGrVcCBN/2mWPV+eUpzYMhSuibrZ8jkdI4o
TBuoMzF10co2vWkN23q35BQ4RtEczNEz0LTKI9Nmta29rv/oAiu5qCqOv0n7koqOXrS68uetBHbf
lY9hDmMAMvCJinXTJ/ZX1RXDTTrdFP6TmSIrsojY8xyLXICYBoyaZt5JEnyYg3WISahaL7NNZ0R6
CXDH8drgRifYTrgpsTytefPT4/nvp+Dnu/5zEKtu6GDfSbvH/utRJ30mN7ezgSrTsxrnMg1PwguR
smnzKW+g/T/nr2hW/yGCgSlPlDsrpWDwLmDpKRDrWrTxGoEqfc+2MrkImgktFjydh8BmcPA29KOJ
arRDeky7xi9C0O9Ot+4EFBXLQC+xYNE6Pzs7No4S8TCUpUWtxB92jstvwIGB0IQkQN17nobS3zgD
CR7ESIZrerf52YHpOMy34DLcHVx0XzYajFVqw7AU7MhzuGDXT3JnRTy5xKZN9Es3dPwZi8zo0Ilt
wK7tc+nr6U6OVrBWZf2tSy3CvhExoptW1GzNeK6BxKL9AMkAp1SGHskD85yN6Ssogrqpf3NkNOen
66c9a7kwhk9Mx2zXJcPn04kRqzavL3IRCM06pAHiwqatHyIk1Tj1gVi0uTSO9phFp8qSB6cj98AD
h+45BIOEEZqUgrZL6A8dk4DwctCtY21owY1dQtQ0BeqvYJotkKHdsHTRP/r7++oz3Xh5+SY8cMdz
Pdt19E8pHKYL02FCdM6kjatjhgzzBg5M67GAAkEMnNzUwdQclluJtuSIeW6blNQNbYTEUQX5TY1Q
YS3pAGFA27WJjbc7bNuDq/e/YeIuLYBfP2pHdwgKIYbYQczgzTvDTz27RFrdKLq+Yro5sMQj4BUd
8kM69foF6QBPg2PMCiyJ2tOdh3Fi75lEelTIU+mMPQQRduhen7Y4yTjk4WlEXc/ChJRzTV8+X1tO
hCOgEAlnJSAWKDWjNY5hlIX5uiSRDi/CZmQqzkis38UusitX2DjhKPQ1Mmd2iKJ1BcqOyAmmGIjG
kfT5tG7fW5W/hrXrbiO/uqMRyhzPKu57WJCw8hiYWKAddCdqz5rwntx5LFqYLtD0svimoRPSemIL
DUim6xql94/655fy5+eV5XMqEHcA5ytC4kxL14kw/HwHiMmZujDgEKtGXtgiLkvQhyonhW/okoYs
o2PA6Tq7yHL6AhaEVwSW0yuzUpDYvNZFTSe86TT52sZEtvGbW/RTVbi8QNIK7HnpM2nMfNrfYtsd
Q1t5EMFm4VsdRCVrFuauALEyKZcX9Bq7dY9/ehvQE4hAkaGusMwjXR6WuICmiWz8B08UH1kef6kw
Lf7uIfrUtJtfoQdGZF4AhCFM+1N2VD/IDt0lJ54W1t5KyfT7kMaopWI6I91taoFJdGnqkYsCSVRM
Q7p15kFTlRGAamkfgR6pjTfi4zYH9ZvLa34ul+bXBuyfaErbRtVif3rAXREHMh8CCGplfcmrZFhU
CLnR+9kY6DkUB8Om1iU2JHxvMQEtF76VMP1HDLHKINDtKwD1F2aeXJFIpe2woiC0Q9iH2eIxjLpT
b5G6ZDrT02+u+if89fyZChO/GeWiwe2pf2qEtgwRZdBAF/DcSsNp55OXQgDI4OMQ7hCZs7ebdHIC
rdpbfvcd6xrCsL9/DZ8zV5fXYHPHGcyI8TS6n65rDb6/6ruGPbV8GB0ATV7HegGf6iFw8hhrg3ls
uyutN5pzXVq7SjhbYhBRcI9gsdC+w3UWFdzhLHrxsna88bwhOM43IwwJ41iTYWLYXU1Jdlpmd0Cc
8lVk4ytMf/dO/noXuK7OpIObgUrCWmrIn5ZOYBK0f3IbC1nPS0jmuBpPfcd1ezsofKUT0o2lEFrW
+dA0xv3UP7WVhcayp/1pttr3TniHKdAOod09tX4UAcMa8SKp/NgMaKi8qXv5+4/f/+stQEkrbJ4q
bgNTfI7vmQxvaIuMx0okxiEqGGeEc8IMuv6roSu/UhEeXLATu7rFK0A7dIevmo/cIUN++fs+DQIc
1c7N0EUvRPVWmNNYkMvO+YZAo7po5srXrBBdGDMKUMxui6QCgmWD0GrqnADWnpGpZu+0EZUKh54L
HSYSsCzva1MC8pUlK3km7LOuRdj32+uFaLVUVVlYf7WZGOOmTbbeiFipJwBzp+rpAaBbCEHdwKcz
SvS2ZfXR2S7uDEw7MRkLa7PQSW9i3XLB5gHgTWcCP6ZBRTBEotht4tnOo2FWWFVmNW3zYXoK8E0D
pDNXlk2o96KJzioa/QH9r14rb0uN7d1zZrN97q2Q7KHqD5zXoreMO1JJgy8yDHalXSdEo1CZZA63
YhIwIe46p95p7eUPwdjIda8m3qxvNbfwmBx+HyjJv7/w9n+48Mv8w4Tehwfrcx+Ajz5JzIZkXyuF
HKHnWgm+xz9pHIHO+UdIZk3NgPEKBM67M9jR0RxhX5LAO1ogbksp2w14E+R0MIUKfXoAvz1hacB7
2/K5Iau7dQz/JZlvlhwf2TblHVDHMfBU+jejZ0xMT+9S2Q3bIWOpFSh9plXmhPTGVQGi2uBimvf5
voLiITgYlT7tyT4QxrpSdLD//tOYD9WfKkyeXZQ7mPt5fJnD/lr2dKD4VR3i1gjLCYkizAxT4G+z
UnqDmjHsAsclp1cvv/EphJvM4XPrOLCmIXS/37yUX4+aiBx0116GNKZjeqTLftqKffTZCEtKzCfz
LK2TXr5xrPqK8JqL5dkbB3qDzRC+QVXowGEhWnVHj2GWyt+xiSfoxJ0XpPhYyOf6N869nQbMXKOJ
9Zuq4cfA6Ndq0WXnQwzqe45huOLT4p3xBuxghFIwtZ1ajxJA4XIP+2Ig2MWx3yI7vJ60YG+IhjCv
gdah7zGarSYe06S7zsLi7Uc1ZMf0gbX8m8z2y6HPslAxDtOli6pnx6SSsYeGtNj21NdRw6VI5MW4
QRuBqtj2NnjxvbWRPiJH5k7RdMQwY3i/rAZTXkW7QZ++hQ59ikU+b8QXVlPY1xqco30Kt3TtThtX
tnvegJz5w2+uaKudUq7HuD06As/dhRy4wOGEHo+K2gaIKDD3MXNh+lEUazdjZi/jlKIW9pMUw61u
qTW4Iur7glAzo4MRszwMOrRwMh+Udhmm9ruHjpA5nHk9DEQFInokLmk1ell85rTT0AwUG93ODq0h
6M7m/r5R+XBFm9U3fG9dN8U7/dLuGKf0bEVAhChpnusARiymfMAEZR84x0yWaERrZz252bBD2kHw
JvHYKWVeaUAVM8z0PUooMQ2MtBjB7BQgo/aaF4l90iyMc1pPaSUBQG5SVLG0Db8b0iEKpBrVWlny
LprtGEOSvGlZ+tXkdIDh3CV7GH3IlOGcBO3VbgIkWRxiHhH71Ktxntg7cdNs1GA89rOdxZpJ7uSx
dHDL2n3oyIA8mmFbx4a9xu0UntxW4Z0L9AfdpkkQMteQASvGsoQXpkZmmto1ISDz5Xw+TpHEZbLy
nXnW2Y9PcRxuejOBklWVVGikAc4JQAQWJ+ustF/6pvZ3ps/etFTbZSr0DcKfWecIyhg+ELBQuhTU
l9tmZB1K2wq9jwI81jXedrnll1VOKzR0Cn5xM837iBfYt3XLpjHJuERdyTQgjxOc0UlwMgYq7Doz
11KblU7anBk/741qPn8yoCaYorF3yxPcmEgBceh72EdwmZjOSqA+JAEbmAXfwckcOnH8LZxoTBgp
PSoBkbqeX6a03Ts9YyiC7XNTzGeotCnfuwy5UFOQCZu7LKv+eOPT6L/ACc7b16EOUQjyC5vZaqPr
co1dd5vUxdnvGYrU6EC3TRcV6+VREsgVqL3TleUO1XU1SvBd3qtRodHFB6wdFCYBe47d7Fit1lrl
nlTR1QgGW+vRHM1zQk7Kusl50TCK5F1BX+O6JpG6HsR1Ssb6naMNNV39r5kKz5yhObQzmUNjOOO7
/HJYKWdytm5/G6rJmjNakI1b6Utu420XEzaZvjP2o42xtXGQlcHLZ6gfhdsoxkO+rKSjQeCjZYAa
Ntv+pEX1dSHBsmtg4hSWi7RXnB3V9dIH88as2PkBxvcgHIxz0MDSEtJ4V5BdyLfiPs8FeUIE/tFa
m6+r1rcR9iIUIMtt6QV1uIav6V6Q8kA7iVk8liscSW0YPSDeBLhVVUyOOXiNbUhAUYxdy1fAwgED
q3U3MnKwaETRf2J6s9wveTQ/KlV8cIIIPE+AFCqEglboztcQRvuP99jNmuUpeI6lT25KHF6mgXmz
RBQhZJbrgFkMA+UBIU4x3ZIp/61Tpo3Yjgwj2rYaXJC7itwSLDzAeqHXcQEjHvSkQ3zWWFO3Q8FV
XRBvRRtgK+encDA67mpL3ztu9M1WWbmbd72V18t36lHuzJKvtLUTKrBthVvgCF38SJ4ng8Wqpus1
N0r6nNFvYmJrAYIEKD4Pb72quXDmDMck9bRt6Edb8HzTXlf0xxYnm9VvIJMEq1qKfN91XJa+NMiL
JwFKdb69GX18ap6L2MplhHcGHXmPnuvIFzKGa+6XzhnVPSgtagHcn+266v3myhJ0NHXAyHOvLGcV
1PQYfm9p8mmb6nXKNbEDTcofcXDnjyU+5d7bh9X0RY+i6dg2IwM8PRzXfh21WxIkPkTh3cW4nFxj
YI8WcbdKXBSdQZc/x26MqsbeLMtZKcWlbWa8/7mUiifjwMlhq2xXbJamyLIE/Ogc2dfFFIlTS4o8
rn8oaMsTXbAOaIME8IStBYhZB9VXz78unbSiYXw2EsOhcNolOyKSFILXzHhnlN/uRhiAo2TNmBe7
ZXGsekialfBWAw6CpTwxiZbaZZn1kkXFZVkbd2Un2BtSNksD4muZBVcjLIf10uBaVgwk9dw0xYAA
G5nT0jYICxDJnI+3EoogKBfxNZmrZT2NHvKeky+W5Qe95YZbVpIaGuPGYy5/UcIr2Ng1rIQ6px9Z
V3MIjrfjce/WOYJpx+XmzsgjXXde/4Rkufyx2v64wPPjuqyZvdlsdQxGzNtZIVudmbY+znFbeLDn
3suyOC9Cy9C4gyaH39xrcQFxAD2kCBzxxkY42o7AaBIsiVOxVpo8jSKDGaenr8uHvJwr9PkENEIX
Z+cdX1um5HNHdjkcjcq6lvqQ7vIhy/nVY8XZVt8LjY6GnmD1NKOakUfFU5VU82AUMymmuZnggTdl
DmGRSXHEs+9ehAg1kfB4LpV015ATNIdAlZeZX29BZOZnRMFn1mbvxmyNvdXT8HfsfTbwmS0fJR0q
2CQS0qOLDnkwczgSAG69hnrshxi1lvGPCUzf1vZWdEX5m7rSmPsOfykr6fKgUaIzIPy5Wv/pJJ1m
QUuEOzZtLcjMh8o1XmhU0sfm8nRuRFx7HRLhBpIbZBNWaIQOX7SEWIlYYEUdHH/YeKH2u2bJJ/HU
XJczFGO2ZtCymQdzv76oSFpB5/dGu+ppna9gmlsHi3PbFrSBzzSC2Fh/Mp7Q6DeMhWIk2WjZfnM0
+KScml+CMGiCA+M0dDpOn44GUolB2WqABtmPFCeKO6RLe39TiIKA3NyJVrKCQuvCKw9IFdpz5zbn
Rq/OeRdfxniZL0WM0CmXSL4zqHx50osLSx/v/v51Lk3iT9cPBx+Oabx33H/mp2NBCY8ToQ9ILsMb
493UsIU2ZY37M5M/zrhmIE+0Uu413AYsfHq5HvqeDVEL5FbHgb0bPIQxiyJ8WTTGiH6Dh/pnTT7H
ygSpu8U1027dyf3x1EoSFdaBM9wtZlckJF9r91Q11IxxKNrNsnrUwoETnRo/mhCVC73UzCC5BGwe
RRetbASaW7/kMUpL8gwK8VDlZrqeeoFDVwbdDgzf0UN8AHmUsKSXSWtdqAaRdRwm62RT4kPxYd/y
+3wjITe5afO07ExxlXYET3FcRju/1pqQ7RHkee/AuJ9XgMogkLPCzGSM2a6fTwLLXxf2RcGx+TfD
FHp8f3m6BHMuRimGb9Nvs+e77KenC1JmNQpdtoyn4JlBbVuj4gLaZOxEXRNIUFovSw+I0xxWG8t+
i8eSxkeW3A1zmSxduzsYRfs6WMQFxhpJVFWmLgMFeiPvsXFlVg6sivV5HKbyObUonPkFX7IQPSQz
W3eFJ2xCpKG2Q1q6z0iBkyvaQWtjXuIFbk+oZs33jkYEIYDzqSts7vJMPWcJVeqyWvZx7iJ2J+Lb
B1/FoBAnqHmsCqwMruQAk9dIxefduG4k/s/HEuT/ziFbdLNUZaZWxDvbfjYc67Fm6HcuTDyLtl4+
IFL+mIzQAsM5gFutKR0cre2RlHE2suMay1o+nQX0xC0dXIa9qTzbgIy2pcBslVNCrIZiesw+ltPA
GCTazkL/LKz4pi5Nb4OlUZw9b9yXpLMtBQvjTmsbGtUXUsy2y1ZhzOItp+VkkmqaOFI8YqtL78CJ
5NeCSm+NMBqAmt9tGX18qwNKjxr6UdGT2QRg7YtVgNb7+wf6Py3IwrFRJdCAdwzLn5vzP90ycGfi
IvJ5oJdhP1x5PpK5p2dBw4EGv06nUCKdO4z5O2ipk9GxNA/Q7De481/NJP7NpNb46y1Mx9pAxGub
tqn/H8LOc8eOI2u2T1RAefP3eNu+6f4UyCZZvrJslnn6b2VSuLgjDUbAUJiRhlR3n3Mqd8aOWOH+
XXdgP1sVCPFyu84reWYxGzsurueVy9khl/EAkbpmHT8OpzGj9srrfvXQOO9DMO4hjt8nF6BEm4Jv
+t8/p/+yqOTrclh8oCJhnfi7jNQGfjsD8sBO2fQgsoDAJYlwN2I0Z4gDtHZ1wsGixphluk1LqVnx
PRQkCynNro5xQiAaBPi76MJB/QnyEH5m6c3NsMMEly1gmPqoCK6JXK9Vw/D0v7964DD/XAMFDt5c
ZY2ObHzC6mD+/15nv4G9Z4R2u62F+clCuIgYUUAZUsLehOF44442b8nAs4SLhh+Z2Rc7b8mHh0+m
tMaHIPtm0nK5L6QnWCsPJ9uy8sehD3Z6EqVdet6y5otwrNFfO9DbgdIP9fqbuQJFM5fkPE4+umI7
nLOCNZg2RPBUAVRClYqKB3Xd3Vpp2/HFVWs1DTVm/lruaptg0ZifGrVH/TPaGiu9mg1LGK3ojui+
aHXkYqvwOA3FJae+buvAPCPTWdOjbf0WMfUDFRTNPYWlv/Q1BIOs3CVjkHK5SJ7qBDFCj2zNNBaH
PJleZLQ+akm7du3rGiZwcscZEzkvJEcvhw+f/J3dJy8DZlolZ3aB+ZCBxkUI4CvSPxaXJAM3+ja/
UfV0nvJxAmo+wPddoFo19oOdidPARTPKiCPng/U1EjYGaCr0gJ1Ac9InSM5VqsfmNo5kgyXqRUij
i0pwY0VVPwC9kljZJM9Mj5t1QvLtCCeCAu0+9xi/pmy4+/lgHAhQ3QPuC7cpgNZiRM+0qu+lS6dj
wy3NpHW0aah40PpG6WMDWNWE6qSPTJwWqTqI+tS8kYWF7t0UjNDUrPc7mpaAWto3bh/VoWwM9Kfl
kM1EsCqHuAd2pP6z/jpdr6GlDXVVpJhTDfVxiRL6CqMM7GMyTxmQPjaodmt0cIkbl+QXTTawarBW
wy/1WuquLa+ct5YLid2fIX0kHbWJIbBtXBbBN+kiOIieCJ+AdG960XLgxzgB4rEP0DfIUE1xfSVD
w8GPk4gG4OwZr2h3nkX6bgZdfC3RfUUlL0nBLNj1mB9qUJuJQ6LG5rK0TSpMLfbK7SeUkNC0lSmk
CqWdwEa0IDIOA2t736RLgEaxhzTAJJuFsn5dib41zsmeXPPFJrzxOoFKaQf0DaBKJy1WWKlsNpsx
WstDh7dyk7mSs9YYiQh24dVzl+gGtOS02nkDWgGGVsd4nA7A/gKOVc9fxh13BjCbPFQ8aeDZqlOK
E82u2BZs1Lf6BmCMQINHSQZOKvAbhUZnv2N5hTGVlEo3DzyXBFVK+hM5DsSB2ZCUu6KFqucwxYSG
97oQnye0upUVH0ju0jhEGnKgDSWC5jQRh1LvAX2dUau6mjanLZuwgCAW9YRRHzFKKGHDWMbDsABS
yyp67oIIfEGBegeCAA08oWMI1BuH/h8TDmEpaBW7ssu+6renGdZfiiAvd44SoILeo3iBXk2Uh1Ph
5lwfIy63dt0dSmlGzIJPU2lGu8EmLJ4RmiscAeapcQ+qNEVWxMVYVHUMTKyYBmWBQtI+WV1EiHPg
K59cAqH2OD2AnPD6pn/GV82PDT93QgNGNrbrYc3jZyQfC5+bdcTwRgIVlIC3wusVjUXFh7qS2n4V
X1qJuRkU2z4IY3QfyWiZGx4kbDPi+p4PnHarcUbpPehvHXJGR+Jb/34hIOokHnB8M91xlNOeF2RX
rXuIJqTlqfuB/3e4eTWVdmqi9kACAHhjpYrW40JWci4OXT9uXT9pSVjLTDS04u2fh+q0sryzMcBS
echdS22K0WpYC6lKAubuiLApfavV73H23e0YmCic9QInDoG+aCfgjQhm2z6Dl6F//mNBEmGq7LfI
M/obMFxc7Y5bomKHn0HoIav1Vn2QKfXMHLooNVQv6sNDP4hbtSHUOCLyou+40ckudCI4mjRLbHq1
Wk2XB29xa6AEwVveJh+Y/btNNyip08byT7G1DvtzKAaYoHr6qthLNvPM3Sl8K8xAvSCIN/ByNsRD
qd26NIX5o6wM2rR6ml3WkZtpnFRgZ9Rw3MTjS1GSsZ5QgndpTjzWq1hpOvSFsCvbLVw7oFzSHWBn
tNoVRBCiGvCSPTxaFX7zXMTrvqbwjMtId3anoXwVFTK3koYby4Yr4MSPjppkXQyiEIjShziEqMXn
uQjtrz2C8Z8TL53b7AyWr29cNgoFqOBkyjitvZVlRyyeQOLGwdNS/Byg4W2qxZ+fxqB/SeLpvRgh
BVcE+jA/Y7LXe1tVgCsrq3loIZT5JuiTDJgfrU8o9/JnXc7pKbWlc6WemBCRsvs1PMntiZ7aQelO
edYSwuk2JsS+7GG0hwyZJqh4UdUYGWkDiTV9mhw6OPT7Qj+6BzY02whO/zZiJ672DI2/TvvGJOHp
sqppaHDmZSZq3tpM+nmaQXtXr1QWb/XLYYCU7k3HOQdZ8dQtX/IyiXhBE6o7/fXm5M4laAaeh0v9
U6+0J2N5S9rmPVdcAX06e2k+bUn1cEVsRbvzoj45+UHx7hv8LTHGaEX4D+5umN6nWtTbWpoXd6ra
8xJRvI5oGOydxi659nJoEma+RvA99QfVl/XvxbcJziv10BqZmaoUN40dOwuOlR1ESqSXMu6ex+i3
rE3eEwkTyjJHX2h6eugXnqx5RF2dY89UgsVqughL8rKuWp2xlnp2y+hLAfboYot3vQ/QZ7j+thrA
soRZYNF5q1PvK4GmCR7Z29G4mBCHUriveW7O9cAttPWpsbF6fKTGkDzF2C+ODs2mp3gBX4iFl9xY
6poUskTcvwxSThQwfuM1ltc1OFqOmPYhFJID7Kb9mmMSzQH8+VypHmRpfSbSS+qWSZEglLJ0qU9R
mk3VaUgQDFrOOBVxpgdmL8Ih2AQdoDurxh8DVb9TUiActx2cxPik3zdBxCunn3ZcT4MdnC069zJ+
PAxBenTQFz79TJtKj6yZk6ieclLqFICoT1n02GEJPIq8IBxlUeMYvBtz73/M03wo4SGttBeUPhK0
Vhr0VUgvA5p6oItw4qHZ+TS4JOYvzwYBN2P3wzhpTCQB2hj8748lANozCMTKxeVFmDtHHk2+2E1g
4h3xLG7CThWfcwUtWaN609Feu9FLUsoe1oPn4IMcRXQ1PasnmCbpbaXhgIldhEwc8oscZbEPAjQq
t2Kbor9pHxxkmNf+eV4oiRbYi119G1ZSvfA45B2bzX2nWEjqjQ8Wwgvs7ykfLKW9hqFbMZ6LE1HP
v/BrmE6/i9T4yGqADX2FbEvZEwDQKiOzO6Wnwhlh4y/DwZ4fWx+TtP6cGx0fYfTVCr5G99KacCL1
Y1wsgEnWL64vfogKWq9b87jR/yR1+8c2o5whkZZJQ4N9tD8lrLXpImObk4HOI7IWIBKEVfrMzhKQ
rqjQV2X5xPVw3lYCd4r60/RGKBPRk2NDcdefhqo3jgHeDMCOrrVL4vrXgOo+iNA61Sj/4DH9t4mW
WLssPOQC8eaD1SCugT5h8zNLldhoFsHZ51GSZmI6hBXMezgQmxED30G/NaJO/AwymR7/ehXZbZjT
ew5TcVuo7QmedSVKNG+F+N0XU7tplIdktpbfY7rY59njIA/M6WdNLpKcf8kJw3pxWw/NqzXnDwUY
ylNqhHwhK99kmLAe8AW05+JUtwPvKzX7F+X4CAZwPs1qKaOlsD+3GHgqG29qH3LY172aaCboEmKg
WsHC56eMgHpyKpTFQD1JmyIc6KVCpYnW8TqEbYLoyFGUBPJH61vftbgS9HhjAs/cyFzS2uDSy7eC
x8MwnlYn/ezJi+inV/Vfc9skOBDQ0d3Z4y/9kSTH8yPwp2rbTNTSd6PvbBvZIzkV9GutyT2u5gtX
bE4enhrHIZz20ioO1dD0n52ICd8b7feFyZ/7Wvih5XGspQVhJ3K77FUNjylMKyb6CeGM4Y2WwuHC
M1nuKPA7668P6L5giJX5rhaxwJtb+5BQGTSWoSCrsA7HNIjf9IiZKVCQHkbp7+qvGIDwjnzLUdRC
ozgJNWb0GdbjJukvlOBZA33m9DvBqP9sgqxBUio+TWMAb66bfuoroR80j3HGlOf1YXwB5oN5qffx
BQDj8NgoxGgDewG9HQ1YreV5y4TK8dZN+UtJjnuf++hIK+uVMW6/QAFttnabMoX4JXEiFtLa4JxV
BAEdG+URDLReGGUNAFBcm72iBrl9eshWYu4Fdu8/5lvIT+GxXGmUYda4JlAszmDA5m0+iHNHrauC
NR7DmA7dtIfKSQK3wcQ37nJp949ZKT76EFnXmYzdnGX9eQT2mRh+sfU7yznE7fQaxEnPtR9fyOzf
lwpTRd9JXjIzfrWtRp7nLnrPRqRYz22OfOSmq6h/Gy6/gcjU0cd4f83sY24TSmlQw1uOq5PL1zym
WEI8KyOfFkw4/2pFQOEPtipuREk2hzsL0+XOkRx5egYYMxougNtB3RiTdyrc2HuG43qoc7r7MmdC
3JFms82d/Iv+jKxFZuOTtd71oNQY40eWO/IcypMNu4QjU91JKLE7wYV6/XNT8Xp6bo3hOZp4jsRq
6veW6qGe5OM0cj+0U5o12Y68uAOE/DX8XhJMOhphZd2SYySw4hIEluSUrWJLpbBb4Z30ackQRkej
iHETCU53xzNcqMFDcDcbPmKLL2KgsbyF9sLhALKQC6ncmA3KxSksaEfGh8WABVuGzXMvvZAde9fs
5tLOr97AC90VbwD5Gada3HBGKghGq/ryAY3LDgeePRTHbls6wUARwVnTz1taNYxb4slTMXbzueDh
J7DhPukfs7QHptnO/wBnpd5jqrWpW5lQ+fb2qyOhwvLpEU31iu0gwTkJBsiJfWqbZHEpJ/cNykbz
WYTRsKtKaslWOKeLnBWwGPRZC0v5oK8vjb3wcvLY3nW0zRPtKGN1Jwey7+KAIAOF3Zpdy1EmobHz
Bfi1kaqjQIDGlCHlQl5HeqfuODK4LU7Kp7HG5AIt4FybOKwteJE5nTnuTF43XaNNiObzyeuyC2mK
9CWnsaxszPHuLy4OW55MpczaY07V5SOstO+ezNEIK8O9ewH/vMrTp2C1KOeCbUsNr93fSsaHJKSc
T6w/wfce6zCm7oJ3xMEsWsKHdmjvjSCny7eZLx2Ww1iWkrY6G7rmkpyGZbW48ma//DYotrlZsosF
YHlM1/qWm9zLh/MCZW0HMSs7GkX71DqCvxNYh4k88MYJCZWTpI72iVwew9rrDxON8qIsfkzKim7l
g3uO2EUuy/JWWJRdeXicL4SeeYzfHasrDlM4eac6jrgJVLyfidujqdViejR6uScJtm7cbhJXXmC5
G4gpEYHz9s5qlNcKFWF2aL6lKhq2EtwUbvzTTlqcV1bKm5haeZjG9fA8uR1qX9dNvBpQ3q2ipvUS
FBiOrukcLFH3qekyTKk+JQ/xGp487l1LUHqfWTpVxecyKoYvawuTVR+MtsI5LUF9iOhWdQfDxLMx
zsfBwXJmGexykDxPhtECsm3qbzpWhcNiPy5phfRt0Hw3I0O5ZA+OZi5ugGG+xGy0n4H0QmStuvfA
evZKajrsFeBlEg/rq6LtkAa4EYtf7wAnqvehxSgWeMa1LEwQkuMKQKK+Jiup1rDrsnM5lN4rp28K
iXUGRyCD79Cm02cZ8ijAmRCCfxmyp8kifIwhvTTX5OSmPIzB2WWoCaohD4PYtY6cj9pei0Mi6/wq
TdZoqYTvPM0PGiJZAPzs4bZgfkMd9Of0GHapQWnFgA/J4V+/DuXTImgWBSdxS2RP4QeQgM3qVPLY
oNyCUVWFJ/bSnuhUZ0Ze6TgKiwqmQzpga0tfhM2mVxbTPR9NPKZmObxMWKSC/OyYaUZ3SZTvTB9D
AE99oIrgUxZhnOx6oH6PQoaNyprsLOka0BrhzLtFPp9MMVTnuaiObjD1REEmk+WEu1V5zBP7LP/W
OE1Mh4G9vC7e7JO7GAMcbMMJtaI/DFYTXjwxfA3Am7xVfUCtV+uBHlAlCkmwLlfp+zcKj51HouDR
49rEt0EyLkNFtsD5YOyeZHqDAxI+gU6i6im6LY2IbnLKjW0VZyZLWt86ioI5TonkmP+LHnowzCin
K4KL/osv6Crocnkq6TO4tK6d7ryCvWg259nVMNdiK3OgCPwM4uuaA5nCrVwe2WXxMOlhB7eoifrF
Wh0qhMqE6HLR9tXZMYLpVjfpC6Uj9MbzfjjUoqxei5K0GC3qkjJqxk0Yx+vZBzj+xFJOHQDUpnJh
fY5XN77q945022+dPePTS4DkdoP5s48MrNMmvgB20v6hCiy6vBJvegiHnDLEETih9thAowBLzXtg
dG3jKewNATU9Wh/yPCUIEcevVR6aXxr2NVGB0yaPK+th7dKnqfUToEXhlX2v8ovwpafuCK56HLxT
mK2+emuc+yzvnxCP3gaKy1jB5PaLo/q+7e8r7ohHbeEbuyY7tV0DnTAO4k8FQYhtXr3mxC5ee9fk
ZjJZxLqp2wXXyagEGQQwlB+m15IbCiodtGwztN/nXHj7pJ3hz0Gqb2ZAlyJuDiJpy22B7/MR1Xmr
EnUXdHEIngzlox0fwqxqqAM04vscmOchiun68DrjSZrZYWy6DzRihwSEBRkkyO6+MF7p3PiV5rm4
L7L2n9kSIiGO90DG672qZYbS0057b8Q1sYZ8HlrXvAZ1YV+QA7yD4L73lNT1Zurj8lazPbjp/wZm
FEkXWgOIP+XywFGLqkfZJMWLvXWnf9m629XbiBHmmnt+dZOdg60NmCsf/nZ16R1PVhATFs9u7gM3
rtQHHAEs2n0YuxESxtVoOy4DOFpOsmMWz6mvSMoJOCYK3eAm56UZVNnlh8fm7GEsjOFcJ/a7GDv3
ZnmcQynB1ygZvzfmmj+WMrAxh1cgqz0reLAiWundrg22wRjHO8f0XD6CwXxjQz2F/QtjwPCyNsUu
MPbmWo6v84yHx6B7EDMJK+QWA3AvquBO7AjAcxgW4Ceaae9mkzhMRqL8azOcHi+WRy4YxSPvaiIy
8OFA89anCh34ASNF/ODIuiUxKuZzu4Lc8NvyyZoHhbrwi6trsDmVgiIpJ0ix+rIVh5P2o4Jvspkw
+LOtHLndxaSnVYh3mkmEZhNvTtO6t7OCrqRz8TBQMyELLvmdhGaIGZSbYYJ9Xk9TU9KANhmv5JuA
c2/yhh5wqP5qJ40SmvmQ/GZ/xjLCREyuCycZxoAdC3SvvtXKzO9LxmE9neo1PIvAt3bKvbtLJfka
oZphuDJw6Zs/5rxxaIs5ZUaxz1rTfkl9ACV1Fo57miCJe4/1TXjj/EAH3FPATaYfrfwnJzOaxN7s
MOe0yu+pFbumWb6DnQlvlOaFf1Y7Iw/4bRc9qlYZ+oFQHpR3jF23EVHg23x13doFfJqxoeOCKpb4
PNhVDdNnl8Ls2nR9FV5IWW+rIbJuwNVU3DZnZO9pQDPMM8dBy/0N9UDfbRdTpUbQTog6tV9YU5El
zKuzzLCdGSvmVwtOFWzT0zhj0auTOTkj/dI7hfC0Gv5bPytPQmT2p6JZngQSz7YOn5zneLCMx9H+
5YWvjnjPRTg+5sPMUGXSoeHG8RtI4b0tJ8qGneqSlmzzuNSxG26QtobFDfHk+dgkpfEZC2lLOTFg
OZfaWxYq6WMSslxS/oPG4HsrPQGmd+FtSwLY4mowWIQJx2oz+DMJPh7B56p4w35yDAlwOrNd30Fy
7bl3zEfbnO4zpCuLWeu5NU3YN2UZ74UE6BmJBCCWq9rHgkcn6puz0xePLYzfo2nKXwUt3MwYLi58
9jBs/WigMa3rjBNt0y1pvE0bKBNIhF8qehcAXxUII2k2Hy2jBgc+Zjf9F8/gHLRm7g2yYM2Gw/Ew
GvhnO8utqLYkKttRx5n4jnklfccc2ni/WGsNlxH5xejIm84kxvbBgPM67r3mMozWp9Aqkye7bnDE
zjjvxxkMW1UvK+VEi7tJjMl4MhidaSUeKoqmorY+/csu3f/nKp3HnOkSKrGi/5IGy8G7xCaeToA7
KDrWBAI0qcZ9LfFyLp55jmPx0PH/euoL5x4I0dD+Fb8YGZ2TtbcG5yTOw41bTniJJP1pQkpMZ8ya
nO31m9WRBnFqt3tx0ozIWFmA51f3yLiT7mGdm1f9JPFz83sZyq/1zGmVuWZ4sixah8IUbqhgSU2n
QWvuYIT/7mIIvYk7DpfaAn4ukxg9sBBySzlZiIU/O8Xl2D8a4xfGFbyPKxOeH4oVxdExjoWoIQik
1tcOrPkF0eBWsmvZJA2CbdOx2YLrVJ616Kat/QzxtvTtd3zVsre+WQC1dtr4QwKVebH2noCwnokJ
4LQPGuf5a5neiWmArnHCq9N4dGC2bn8sDeLRiG6f0rBkh09GZOk6JZqmfLfQkHfYtUZgBMXEwz0N
sGVJ6mUcyxmPmS2/dgQbNox2094nGkYamYJUN+Hwn10awkv3MaipLqq68oLHF8iOwjPETIEHeDhw
jtw5jShrZcvfh/Yvyo2+6P8RdesXR7i/tJBd5/GbrusYCfaRAsRdZQD71ANIrJxOeIrxynR/lixJ
gfTij1ClYdHtPV989droiZ6t9DRRjWDNwTvnMeCmtaH011lYMKUdy3nuBT5Kft2MzrbnWAXHrFJu
9VdKRtDs1fsi5LW8FMLahQ5gMoTA11QJmW1MJc1UpZ9lbr1MCwXHUKA+kpy8kLZSyKD5wjLlgMxy
0c88wyCcRmMFA9L8UHj12+RQ/KcsuHbtGqfA7X96xuz+y6fJ+Yf30ved0CYdivfRDOjo/JsvJfWH
NHXTFQhpd7GcbD7QWeyzB4C92gSkjkLQy44V14zAyasdUDOiVkpIzfGpzM3uKBz3oF8eXrV9Jbuf
9LdgEGY6hpWEf91MzhMtnziGsFCgt2tfPHMIGiDtANJz+cPc9U2vs//3k0JTMP/DLOmzBHVCtOvI
53Hxd1Nnm7KAyZxk2maBBEyUAiWjE+A5K/KfsW2MJ9P5pjV8vd7QspA+pjPkIspv5C2j2oisg0/8
wfpwMCPnQfcbrvSPOQhCSiJQfBPv0bYEWG4lADfN9xISt1itDp0bJ1fZMW90Ef04bBibf7Eb2v/I
GfLtgaN0HKy8jg958D9fOsECxkp7iFt9s3wqWl/s7G7KdsW8Jke3kZIPXjFvB++ohSUtIWunXlB1
PHiSLjkXSjyD2K+oURM51qPO7gwBkQNMuNtyTT/+90vyT7sbX7MbkKHC8U42Ofib3a2vqoizDBtX
aninIl7pNRJv5A7cLd3Q3alZY7IHrB4XB/nUyMZoP7mLuJbGyOmToktI418Tisrb+7e3iUNk0ldQ
BqzRf/dEt3YJypfl1dY0K4qUzYewYb8YWvMTvNdoX+KNP3WxTaJ0WZtTY6prpxO/GQnOznztrv/y
IwKn8F++IN+2YVpYEIz4z3++sFYAZTVn7aCcajb5kMHblzwNLgbwWj4+AMe8IaOZqKfqEwjcDqML
NFEV7NDWrRTLE2FYGR0SDzfBlHLx6OhC0G8D7tn30mLT3QdfhFVDkCFstfOwVkCXSff5BHzCat2B
5W/hnLvZoJQUP5UT/0hMxt8xowqhm1GcVPUviRnz0WwFaLT6Fw0p6Fzqkciv+KIlwgBcKrJEf9S2
11zUUOgJ6i9D+9g4bfw402PYO+wla4M5PWac3Vhp5W4WOYU00yVAU0jO9qL4XnipeaV/hqSIXRtv
SxS8s64h9LTG8qShvXU6fRXVNFy0djzalbm30D3hxfDoyT1IdN4LNJ3xfW6TnzS+1mj8ubj6HFpc
d4OL/tkR0q83o7Qa1tiNe+l/RUkJCtaZ5Bd77D+ha3JWla9t2IEMSv07163fM4NV5wbDVVAQxojF
9dOMoGZ3bFYr6qRvcyXrGxWiZyJVBv144MyBGyZPLjcm0WLoFCNbJTVVA/PYeDWQ2LrrGBNE4h0X
gbmBSefD7T+6MCrvXaKsYCaVfSEJM2ARA5XJtoEnfXCR7U00isk+epmChPgRd5IFkzV23ceqw1Ng
yfSh8xdatgx6imWKLYdGDfDQbrRraW656MXWWnfG3oNB3Q5cN8gWA0hc/uwNzc4h3BCevY6kP6jw
2ablAti6asfOp72ymqN9akyAjbYxsSe8+Pj4dREE/2bul6vNesvL7pDruMcpM+usYl5jLuWfZA2J
gzM2L86ayniTTvU17TE96925tslO1Hcgooj7NFAxLDK0KLYmM7Mx6pFxc23JY3BgNxjZN6cHqJls
2CG7THksuGpWYRvp/rElKDuP9vWMJtBC+t4F6TpnR7NH/7nlwBhx9W09Ixqu9qeiaq0/1iYYin+l
0vRVRzuiEYKiY1cbd2DyH51FLIwO5WMXYQvpB0HHY2Y/yzWV9A+0EdxA3slLgi8D74jq5obWjQpu
rJELE2+68Dyi5SG1b6Etj0XkxQe9FCeuy3dD73HXretTYl4ieLtH9lxfPeH7RBNHav8ooZ2l+dFO
hAtL+4msTv7gNe1TMo7mxUqJBGUGrHYWO9vWsBBk1/W+Ajo/1rPv7XHzvrW2oDTeTZ7oo7t1Pe6M
ZijsA7FB9zB27Wny2nnrE8I9c/c5yRGWTZI49UnGJCZxEWhDZmaDS2wT7JWl7R8o6fmauxFwGlwN
x9agCXodx09pw73dceOPynkY22U9UqncHqgDplEkKo3t2HH7D7rl3CuhyCY2xzrM4KY4U3STvjiB
QN2N5yP7k+yaG8m7QnJ17nSmEpWn3jR+0FtVXce1vrtjdhaTQYFfeWe0P7qtO9Oq5I77ak1eWWBO
Z/XqL4Defad1zhYpCI9yPqUGO7bz2VnT9FGwa0gaddEgXs4yJV1fW4s52CEoFPa1S8W6S+IvwHEb
uvHnDicb11P4j7BGMhGzoIzBTgT4ITbSMo4lEVMQrfW1tJPkWTpOe6mI37kQC6jvI9RrLdONVpxP
5kr00Ir3SKFAtBqW+m5loZWOP/Q8pTNUUhlVNGKeMQxVWSW99MN7aKYfcnS4FrMU1Tp827S/1rX5
5lSKPlvXyTlvspse49rY+zCN3sdQ7YXHU71iD0RT/q6H1BbVCGXJ2y2FKy4TiZesijaWWC+LZTZ/
MmAAL3FcVAVFZirTN4d8VjIrfIMCh2rQsCKgJNWsRoN0r0kLGPvCdj6aLc7IUY5nNxnOqXJdVWFJ
E2krCUrK+cGe2dnL5H0cyKuMzkijJK/DFqjyvoC2eszVKfX/bDL6CAin4Dmf2EJJl73KyKchAv6j
bwh/mQusU2dgN+vVU4klsDNBF/Nxh+lZSV+qxoHNhEnL6SaMyFLk2HK1OqIHRXTD44o1Yp/WPa9n
+8uo6FSSKq1YqXtGbvtQyHgCnmng+Ba35ryz/PZhjHKLqh8uUSGfrNy3EUTUtnVs5psySLd5QVFI
/nOkDBV8bEq/RnKvlrC/DAAu4N7LU4oTYWI6Oho2paWUuVxjhXRJImy7sNM2Q9Tt8gGDppawtFE2
S1m+AtFnjwlOLZfjV20caaPl7pO52emweDKPr4XN+JcmXMV6FY/WUf8c0uujpKdhazpQHMoVJEWe
GbyO6seldWcDQzA+UcT4cD3rMYBKyeLiuyK42zZ8u3LMHi0MTrWKjCguI+esmiFAnv3JjNvURKxc
rJlb668VdSNnWk8WOOx8lhS5xsiFu80EuvIaZj/X0fX3w9r4gJVC99TV+Y/FLKItZrnrSmPlSxHm
J4NPOY98OB1sbiL2LdPQ0/ZVOVdC09HRrOWTaTjZtcxpYM0cvGWmhBIUl9YWSAVdmXMMNCAoj9qJ
4JYxNns3Pw+TRRh9YEUzulSZK8OUQ+QBufy3cg2RFVkPI71ojZvEu2mkw1WbcpWxj25VTDJr8mvw
EcOCt4Ju4SN6wM+qSEZ+GCwhWvI8WFPSHtVpfAf1YM4y2I9rioUat0dOQUFVEZCK5qW91s5H187V
k/scva6mYd1aFV1k7fRm5THJe2UC1Adn2VJO4lBHcV2y/Nj0YHZJEV0bZe8TeJV3VVh9dlq7IifV
XKrw0UN3vHvh/MhQMl0sy7WhFPnV0Vq6BPx+zspkwLiFZ21jNXl5aWzroSZNBJ+6P6mBY6fzynFY
fu4bq+aM99mur8OprbNx05D4EabTPpuToCqlPqtfSibj0uyEIPb7HwW/WhrKnsy4fig51ro1sfG6
8WwgRv+Voj/a1pRLJke+AKNxqiYQEfN0xmEbHecF80DO8mvTxXV80UYD+jsepzpc+WHus4BnJOv3
X3Wz3HSoaBDogim9kLvAFfl5SvK3aYbtjZnvTfaMUlMDLmlxf46VZR9RLqpta4VKONxjXpwflgYD
C8Cqq2+baDikqM7wq2hQwmyvE9U62ITZwUfJDQ7altNPBhBu8OAPiZddJG0p+veNvPMuOF2cM6C3
exaHNoTk+KTHyjSh02cI8CasJRpumZKlR1qE6mkaZA8qPlMsyqkua4geBwGhSeHmz9ShMDm0INbB
gB7yJs3uEZfKI0Vm3xOA1gjQsISlV4aHwss53QPcddq04+NXR8zEChEbwKT/oJSraj39ca1r56O+
RruUc5WQ8Bl1QM2ZVEalSyoenKTdVzOtVcSbOctFzlg2pEdt4Zk9hKiR96wT7ngIIcMrG0AyY68l
dy+MvyiQhWz2craMPz7sqIGZucbtMYsXdHmOc8DS6V4/km1wX9/mQZz0WUZA4UgFEG4ezBkg7OQm
d1HkNZNiCdmxOL1BdS0xzeosWgbVoU2cHV068g8CoMZel6Vz/8cLPow8RSizu+tPM480Nm+ChcbK
McTaTtl4REcPqRo3J/gYe1ky0gW9f17D3Nu6nnHQOegurb2tOdI3O/vfiHclW968w5EAzV3/837g
1rLS+ofHiwQOCxMV7kuOeLnrnaRBtoENd1F1kdQMO0ftfszc+jkF7/SEq2/wooHMfJ1tCs/91qd2
dwF8xSTAPbDM3W1AweiDnqWwmoA33zgF3W3IY5uBL/2eUKAyj6w73MXxKPcMZns7AeoZBZ0adU+J
HJGdeOO7ZQV5qhLcE8QBF3P6KY8QwuXAsJ2W8TF247v+XGn9UdL0g1eR31OrJgyIhsnJVkO2Gsv0
caG1rhn7Pde2/gTxT6E2OrwBxrmcx+hkUkSi35DzQlhCVtF8CzqT0g3qSvwpwSbesgGp3PY7zIfs
YqRsxNgHPhfgOOcx4bmaWT8pgfCebA+7jAj6z7q3jN5JXpyo/Dn8H3VnsmS5kTbXJ0JbAAhM2zvP
eXOuqg2MWVmFeZ4CeHodIH+TmvVLTdNGZuoFjc1ukjdvAjH45348YWDty/Oy+wdyGDd5Vz1Fvd1d
6kljDDf7gpdPULFd7GFOT8CyuKqhCdqud6+kc1mwS3pGBbf0/GtfBU+L7csdrfc6tcZVODvzcMcB
2wVpZ5qnhXWlkC5P4DieB/zxx6hUN3plPCbz4V9x1B5iMe7rRokbTZZfAIcpt6nka+L0ENOTvjz5
iyYlEUwaOixDpqL8ruNnMG7pOdHVjmhdtrY785FB3nvjGyHnU7x/gTdWW19PuSJG+dMSG7HnCEtk
0YtVCYsrAuWyK3OiwMBMAIGAbsc5WOazz9utTigSdFluc3bFXU/MaVej1rRGpW5M6l+UHQXnzuJC
r4r+qGtlt6PHTB0X2kAifXBWSfi6GNIVhQ97v3WctS1raoOmwaMRHIMX9TnmDuF5WIW1hRAyz4dQ
NIrD5NGiZjUFl4Fw4BNY6VorEZgb+uJb6s6wSRZzK8A8++miaZWx9cgShoAHFeXLiB0aAQbAAUE9
1zA0kFL56GFhHupe7Olsqi4VV5gE2zAMBaJRJvhf3ckRXLqZuxz2n30AXWJGMizrigjkNReShsdU
4zbKC97IztygDZxHH1gFAIJ3rQgp9h7H68LmWM6YucutO7KiORnCkMyZ7ukMGuoiBmDAnV9G2aec
/f3zAqqgHwkbfvFWzWyPbuyeo65XW7eniiPTSuS8yPzkyvea1XxHrc5SbkGC3gw08V653+kACaqn
0m+4qA7G1zJgq7nSk6PnjaILqh1ittnEzey9XvKiP87nvn0Y0B+VtWlx7iJGAzYvNxNiloEYY4Ry
hocUK+G6EboNmS2QB9ufVeQ5paDjlqGy5Z707EdRwkXdYG4RzSh/aMPMVBr14sWGuc+5B8Frq78c
zW1nprtwfsvzjiv4cFpenUVbz+MKF0z0s/C5PI5FfCY9Vty4Xv0DsvV/JyCbIEtsJk2GsIXxB30y
TevOU61gN8ybLSF/jiXhT30e0yTgHU9A7mcsy7L5L4Q6Rnnzxo9/n79+NyPqVGYKUgZQOI/fNEcj
4cB+jNdK0E60Ckm8GN+jjL1RBL29DeGjIvmn3LGmhA5uw2ccYtX3dMySixT/mEpdSHR/Kp/QCQH7
uDrdWX/+fLJNbX2wDAU3yvlGqoywQTodxeC+xDq3NmCmxk4XyLHuBLvZFMmE20lSYMj4O/YYskAb
oHrPrhm+JfKkuZx7nFojrxwnRyWbncKY9tjgkiXrCYK2DtMdRdR265zsHqcc/WLHMQQZWEXBVye2
a6vHjA1q/ndAgcnci6jPkWXgQEAj2syXnYCLgVFlT2iP+rHN8jObJgXQ7qyScuMRTMM3XWJrENTt
2yQ7DA9khK15yixoMj8a95SW9Fs3xvlW00S8xqy3SrOm21e95GQVdNU5yc0DrCLCHgWLewFOCqol
NXzwPi65YnSOgMceZHfJo2o0enmd1RJa7MHznarGftFG72Bgpz94QVWsG7PzVssd3cXMaPn4Tr3u
hznjAZOQr1/Wo74SfeNfFDDQ6IGMaOYNTwPBSEyJ9ab0sJAHSXExwiHZmvNpx+TYUxpGthohu6z6
GrMWU5qeOGbUMzYbr+EQ2dj7CutG+g+fDB6aQ+daH2RucXPP59U0Lkkhg0bSsZ6sc6eNN6NOkQrF
IOx6cm+YZYGxLfd3PZhVYAE2rryMKveeA3cgfaYG1NIXg/klDEYzebEdITBQw14V6huWjOQf4vLG
LH3/8cRSm8dIh7kQj5/7xxsJqcigqjfQv4A1SM8ZEtsUbpVGj3wt/XCn1wpzHx8lmbnr4WynXn5a
HUNMM0unBd7MlaAgs6DJ+ULX3T6lI4irlfBXbex9plwVNsBmqu1/FvZNfR5u/P3Du0wZuC7MAXZ4
iH9kwNn/6c8wgH8taLDQ6ag4H3vO1N54awgHpdR4P2eS001HyydzevRTbtO7qcDNB1+MZ59UCQ+a
dq7rNlinKvjUphSalUVo1GXSRiSNtFkKmIiOAGcXGNWTH8fOIXSOy3zAbUBy0/Bj40YHkWRKtWIq
zas0naKSmX4VwfMSJUGqLx+6nf7QJm633B6widrioZ15V5i45mMXGd2UzjgOaIexioqLlD8Mrby7
QfbNGOjWNKrgNaYilp4UVPsZstS1rAQph6ENz/o+KT19XTYg4KjiiH7bHFRJgenPhCGvM5us8ghG
5vyiJhqslphebksAOgFFlXOn0ACSR452ikT+VtgMb8dmwMVv/2LAioI7/kV4MkcvA06dvMfVwLXn
uISYFlEkgK1YJHiAZxV615ZeiNn30aZYexnyxrN2ZZbvKW/y1qpzh1QzbYScgmYyHGopOcGZtzTl
JHqwLH5dEVSVnFD5yM7Mo7e4xQk84HafgWVBpGPGjutsNbQmp5GZhLpIkOXs6JnphI3H8kPfMdpB
mZerqdU+zcF0zoUZOpsg/FUEzvc48I99it+DA6K6TVwbdEKwX+J6YsBqHfFSSqt+DxPolsu52prt
Pk6FVJUkaKhzOn7Ae7mSZfS0TNBjY0Y2FGKtD46zgjqAMYLOQk5etNAuX/yYvyJORafUdbEXRNGW
6UWIy8Mczy2tYCXi1M4M7ccO/P1hucA25s4waBNd/va89PMdzt867NU9ZAMU0E99wexijkolWYyz
IJ3nRMYPNx7qPd4OttsiPC1/d+VUKE51/xKWp7zlnwCudjW2wqaaHc8PqYEJx/ieERTCSuhnNFZI
rjJRpHM/gPhPmSj0DaiIznDE6cnOOxMSyproDePbR5OhChiI9CmYkLeWsgYAA+baNjPi6SU5ieai
O4m34wW6LgUNMVoPx48JHGUNVoXl/qsAIJ7NAY6OF//rNcSYELQ4z6bS5XSFJ4A27QRfgtpUHoiJ
JXVZt2YIy87/HkxM1fGQ4tASDuklvyblVevhrZo6Wj28F8gP/wWy92eYmGotbS2Dub9zlpVsGZ7p
UO53Wt7jqkUMwGbxdVFdHoJF4hRgTzdl2gWrZdYlELgLGc1mvfkf6KPaWAHNBrNiJoUPocZvb37L
UurbtLUlmndXQUQC3xn6Q2NmTxVl609T7r+KgKthkxIhaGz/GrR4hZjlkKnuizMd4x+aGjHRuQ4h
snhE0HeJEq97VKE7rXhsXJXQXpy++QxrlZwbcgGLnuAJEpIdZJFbGDTfI2+Mvk7tZWQfhdKNp9zK
X2FVhoCKKm9jz7692iQ9abU8vWFaY9vq0ToDQUiswSc2ZTatvXHRbpwKlHDWt9cgD4+Fqq1nYDW7
Mp7Fx1LiIWV6+E8MkAXx8ffl3zOF6UnLMqU19wT+faw7lcYAU5bntQWMQXIR+TYZpX7TRVZteuL+
3Cu8ZkcnpX4p4+lHiIX/xUZog1M2nIaKS1UQIVxZ7PoB0aIXHdqk1gAnnLJM534Ti3Niyp+Oprbc
34tTg0uWtxTLZy4PkKPgBSRcHjwZ+RuLoMTGHXCFa3RpHDS7w42WW6+a9iOIImuDmOCA5AnjXY7M
si+dAF9zduvpYHigZVJfJZNzagtuLc7o6ocoAe4xK15JKCV0CUpwy6CT2zhjCjMrI8v/KGcv59wm
fSq77GkYMGCG83Nvmq/loKVfaSASgKdUQ/1sQi2eeYzpfoiLdzlxTVs0Aicjl6JRnM4kb61H9o8F
hIGtIN/4Ep6U9cS0edouPpUytfxtTXDZKYJxv6wnwwxOWET8zkjW9B4/NFyF13E0t7copgSNQ4cZ
x/sKrCLBhmZtjvRfLzILdX/0EnvpJsPA5U/Rjda67mt9N/MmO1s+JWxG0b16cdmfHf9np79WCZtH
ZPXmXkNNJ92PhwlS7EM+H+rk7BhdvCIFoL3SQHZpUerqhr7zoK/Wel0SfNGCHX0mywFyYQNCWe/O
owwfl/HjMkHVyn7YGlpy9KT3UZI7pOqK/kKIiky6/PRqjaj6HdPyLwPO2CXN2miWgGqLB5T5ZGCR
T8WSkycZBdCy5t2b/TqLRBcMZC/dbjgaLPU33y6nVRH66b4WxW4KrTvzX6THCOEXYR9zSTTQKDIn
JHHAIcWa5qUS5rBy5jxpo/pPVUd4OQL9K044Gcpem1M9e11DPkyEHOEn1SenHSYRtMfDyuoKADe7
aVDmwTdoL82qHGhvaSeX/3xKY/Tw5ynNIZUEjs5wPGlQI/XHEXPodWjdaWmR2o76tRNa9UEnwAkH
7eaNnoZG6t+VpbYD6L+ohdZaGSWnKLxfxfTWcfZnV6c83OWarKZ41zl2sQaAA4rIm3jvimYdDuZj
43urjplewOOfinuXDNREFl65s6vmFPrOEwv8voMZtWoN6t60ynqZEizA6c2ZBm5P9muZEMe1hDJW
bg5Ho2RQHQjM0dQ7rxwNjbjy6r+WiUxvrQs5tcxQb4WeVg9TX14ZqtQuwDYzKI7ph0esdx1M3Q+w
vRpkVuta0DWjqnIg48gooEX+DUzpksYzQYDiSFu1Uq+uGTFS+KvROnCbjxYTAgc44Bi50M66P346
1jgiIE49UfYcJq7brwo7mPmqtc5sPzhg3YLSjP17X+o0jhsGWbVaVL/6Pn2DXlFxc8XWbsN5QiPx
6HWt9MlYCdBea3aBxylKKObMJYni8BDrkbXKonqgN1H9lgPWWW0+/xrcQtwiOSD+/8wTmrSlDkm1
vApJWL6s567I8jMItY5mwexViWq2UyRMxDnreOKmvJRlM2v5qdFOCSJ9x87INV0BfB2swVx3brLv
/PY8mmoPyXDacw74mSU5/qsoeyLkSC0vowKKGH52bnWbIvd30wRsc9EPugRBxY187ED7HvLUEfBo
KLyLL6Dlfw46Zvy8UPd8cm7jmMV0aoLoCDHU1dWH3nafJhnsMkax4RxiFO0318i5SIT8APxdEh8o
QVn6D9DGKBaJT3rf/ITq/9eA93U1aRNwHCRAvbDkzjRYnMjqP8TGufIIikz9rzBhO9QcG09ip7Zl
JQGL6Pjdxy44dTYXZzsjuhxajOimdrwF6Tc92NIBGZqkrRyNi0Yj94VmNassLqaHomuIyRpofgTS
DobD+atxxnQlWqYYaKg/84l+kc4KIPtYxgcTfcbIkd486jUcDdFF5Dwt/yoT/qSIUQnE81SQF3Q8
7ec49JQPIdT5OvMuwyOvqgpFyaQfft1A/58W7v2tqG+p5tt+Rm1R/39QzDf31f2fi/meuyKL/r2W
b/6/f9Xymfq/KDzUYSMK27EN28Ot+FXLp3v/4kZsmMhraFHQ3bg2z+Nfavkc8S9K98QMXHEoK+PW
/L9q+bx/ATF1TJdaHWx7Fpft/4tavv+GvROG7VB/41EXqFPaYP9BbmRQQOhfShysdSyPleXepYUB
j7p6DGrW+D7H1hBysSmK6jXWcOD4Y1GSzmLWE3VNvvWlwnBMbO0fNMj/1uIi8AHO50bLZMKqO+KP
7ahTacKxWAu3eN5PLMSKTX94yDQmPQ31p4yOzsqMd+TD3zrLK37oYHBihPSjxg8hQk87mVq2GyrF
bSCIDnCDfzu98K+F6aAzKNV+8VxE1+C4a8iWG2Z9EU7AHWS+rv3b43D/Ouz+e12TOX+P/34G5qdx
dBOZmd+dYTp/bq6korueQ0O0pZ73pHNRu1A8sc0s7VVYJUZjhzIsuwnvU6OjINTUJa0zfP3PWeRD
UUIqKOdk5f+MVy6AFw0z/APyTsHtvX7yW79+8yThMgbExV12+wyzMpyjhjFzab8O4yWXUDJdTWFk
6lkJY680mNQW2Pe7gHx7iJ5EuyPRDTzD2J5Zo/7zt6D/qWLN34KHcVd6Fq5r8acxOSoDmfe2xzmP
wNUhrMfLchvI9drCRMjQcEFhKbOyzoPTqFVga4+OG0W3Ea1z9w8f5s/zzvJhTIeXDzuuaRl/qFIu
xauUdMTJdrm1Lg8UZ8H87mU1dlAmmzLP1JVSYUZ88hiHHOFarTP+Qdlb6nD+/mS4vOiM3qTB+86X
8vfbkW+FylRFlWylU0Z7Pyaji+WBiucI0Vj0w4WM0XgEmLG16SYmgd4ftCF/waN+T/s6eSIFHj9p
nAF2vQk2aYr2IyO4s671tPSmSu3TcpsUCOw2Lac4aHld7b79EdraX62j7E2ddjFCKwrI6M6cq7j+
6UJRPCcT7UAx0IQiE9MrM6s7B4nn//w7WIT2P394Fjl+bpfyWJbDv//wZikIayIebeU8pCWzOJwc
mR/Rq7Pnmk+HR8tK3mp32IlMcQpzAuvAXIzQnehPncf+SCxoWPl4TW7MZuy1YZQtJqzmYgQuhaIc
Bf/Bfe6a/+1NZmXWBfx+F3cw1Ux//8hQy2JSpliGWdDFLhg91PS+DHe2KG0i9f0vO1EkwbXkjeah
kU4S4Cfp2Xam5GIylKONQhDH8GZHhnLfjXFyH2xlnJdZh5hJ/Imh6S9Nln4zRsDdHL2Nk9CpCOJD
TRxw++Rgxtj5VpGf4jN08/GGM3c65xIbO51cEFQLufeNYLqrUx+7GS3LCocfeV0tpfmHmdU6yXr/
mFZdvNfMX/S6WBjqOusMWpk+ixm8mrLkcwAX446kMocxFJG9A0zMk325b/TC3qQljTZxQ0G9bjWP
7fzvmaSJGZYv46xTipBqIvkKifYB4DI6HzfQRHDq9vWZMojCsK1vZs3AmAqGfQpk6xIV6Tbhe9rD
YrAu9hzUCl11JvYf0cUR8yMv+jEOR3WRhIj/YXWinmf+3f374wgv1IT5xuyLxjXGQ38sCciiTVIL
Ct51cPjgVS3r3A1jdKzMIEP16gp2lyorLhW1dF9/yAv7WdTAjCP62U5JG5/S2rH2y38L5r+0/BmW
mg9z8uPTlMDGUUP/3IumPEuueBh0bkKPm8fILm6SUf7Z6rr23jXlu9NGI+Qv/tKyQmm9/YNoVIcn
1RGvTqI4aOKkvy+uDgZYai/HCleNMiSplUQbwSXLGYgGiHq2JT3UmjVRmT7W++W/6owqmQz59r4V
3c6FwfbUci7eLpitlnTECe0YCrwZbBl5wX8ik1mMobgMUgUYB8z4Fnlc9urJjtCjcZ3heFTnYviR
NwOFCXQk3rih2S8TOREayXUyMYoiAbN2fGYp5XjW9HE8A++je2f5oK5PNbDMfmgeplwyqzr884m4
EcrPMe8cpE5gMV+/iwGR9UjpzXAqpTq0dW9e/VhYJ8xeey1K5E0jYLVpGgpvwwTWhpVp5r1XyJqS
mMGLiWPUS9PkZaIF44BvP3pFghwOhK3bJwyoG+VP5eMUaMXVIoa1qE7YS9RuIJN2GPSimY0UwV5Y
zieixPij1yf3vz5aIvViaxLRQwwHFJBIdlRc8vGDCKo90pTAvSs/QIpYWD3XHP4yjHPDXNuiQ6y2
WpMJfhK9429/rrTMevYq6411YSuLMXozqKLYGAjPawRKposcJ16BihDCDp9GvARXUufiSbnQXcEc
dVtneCalFz5TMozZx8Hh1Z6Z8GcUSFTFtYqD6OKPFM5orTTfHQ4Bmd1QCofDz0wGCxI9QpjnzcWy
lQ8i0gOY5JbAHrKs2pk25ohswNYlyEkBw1ECSVcLH0ecC6EaOchoE0xIo8M4VzNK3imVeKwCdv/s
pGJT23r2IPogfwh6gDY46qCkNHI6p1H+3jI57CNy+gZtHYi6BJKAw21IVdtbyVd8Xv5QDdr+S3Qe
e2OvC50kB2acug6ya+i8tq0UF6evRiR43KYJbNJrJYdHS5jimCe9jzmqw45k2ueIUc7OMYc3Ny+/
D156FlQCPqZ5fuPSiWCZAqLTRXsyKr0+h1VaoMAlmGv87lVPwYIhFOmXptOmjQyBqIGDVhfB2VSC
HokZcL2VPpOrIQYpkRQ+55v5n+ouL0RAhTDTpD46JoZRb7l4aitH9jNMp8Rh0apkB8vOx/u95m6X
sHTm+kFEdrCGP1SeTDU597CG7o1jlDSrU8jDyJzvMPncCQMIMJ96NR1sNX1bPK0e6gf2kcfQLuzD
qFXxwYF0vTMnwyFVGakzZewogRnEpsWvQgpvO45MZwI9NG6w3KddNP/ZgH1gw8Q7Wqf4SYAoYXiV
Woerc37hFwtc0ERgfBLtMuRqWvmcobZ0fv1UpM+v2XRtJhZYnW6ta+979eMc7o3bXnzgAqG/2ffm
JuHod2brkJiVGx0jQ2BLhDkw3WBb+LciqMdTxiR/67FTEMef9Sjg3R4cBmnX/TGMAZMsy4Gf+d9s
Ft7VSDiD+VBunUjH9+yGTf+S0vtJP57ZXsboATlOPpjUijtDU56aibU6N8s1/E8f3rNXfh+HK96L
9AZqRLti0zaSqrhp0C9Bc9zaNmVsPtaPCwR6CSjVDZGuPHb7rULrQ3ao0rcuGIJTk1n+o0Iw53eb
s70oV62qdrDWsyzk9dOn7xYG5Eklnwhl78eojLaNlTXnICgl+31rrZTvUvWZYV60w/7FYDUmW+af
lz+kTQqCvqXsTLoIen2ZjNuszQIOHyNu1klRQaa8Z2q8Qlu9FEaVEwRj0OUlP6heEb8MO/4lHSyB
Bty7Awt4fWlanlkzZF48rx4UNBdXsqR0lKU9lEjBcrenumcwJ/M+VWO5Wt6/0umdlVsO1rkFqAK7
zRfWuYJmtpka+3kQUXPhdn1YFpcGYe1LLa3tavY+5gMLg47wQd/gRtMwkuQGd4OJ9h/+gxd8Co8D
ABXlyG1G6+RRmVnz3iVQWmHbNnX0QZ9XBPAsv3Od8u+4wfiguL/OjQEYHB5Kv4WrCgtlGPdd5K3t
kM+jeT2exSmYBUWGRnrh/9LK1+X0UUQCzEgVkbMfI12se5nvme8FV7jINijNTt+mUAk6G3cYGmO/
SnX+3YxiaPBKNfcwRbgKbcoBUloy7978tfi9Ts8h1gwqEOqdoZkvy1eUmvJ3EtVUFsyeh2lydrRH
oS/Oz09k+/1Rc4f6obRhC7svs+LKU109MVC1nlvSGoDMl/cMoH6wgu3PkHwUhxj5+jJUSbJZ/jkQ
4XYRbQpTYXzUHTHthAkUhYvDCkCPeUI0QLw2QnGQHrZCW8clhWVFro2azsLRny5p2qw1bq8nQnDE
5ml5NmyeD5seCDmWJ6PFIeIzgajrdBfVHSHafNXSDM5lB8/rCX4k8Ke1Jkkpg7+8lvWL07lrCBYb
S1EWaz+EwI2r8BMfHsHwl1D9DD8E3CX+ibwM9U6rNhvO/kMZrUCVApf6ZT+a+XfWKISXlQuZC8Qg
twglOB/UxibCiL2S6kfvZpJpWPDJ5hg+CMDoMWB6pk40+mBJAxRugEZLRzYialfWphV8NFX8PXGn
v5IZbp4Hu7KCsepz1MARfWZJRr3eKDrEJtqUqsR0t0wJp/uomlutSITTIQD8ReIewD5WHgfPd/YU
CQYb2yFJgXNCOxGuwyB9mzjzss8fITH1u9yLv8kmvVWRn+zrsSaVj4PIwg3EADTGEeeO4VX2IwG9
hNwI7BYctYzNU2uiC7G/pxG3DScY33N/NPcKGB4NOJtg4nwAWDtqxjelhxcrLDde2e4Unye2cyy3
+WXEBJkAxl0bCVmyQmCFgcwt3pSRvYJQfmvTfudI+syIkuXEETwDiL8VQYWsQrZBfusENtmgbqoE
LZZO9jlGlBij8M75rFmZLQYH+PKKgYyuw4qWLZUgln0HGLqlqUB/sevp6jbOb8vuL4MACtrrvwX4
VqeGWwDYAQv/IxrVa9bMqKsouhP7fPSgQhGyU296CVW88MZPQgfsTnj5IB8Bc3bgO2hedjM95odY
4M0p30Z9JV6SFqcouhEQHUhPD1gQBrAynrvxW2hTcJFbjqM72kkoaXTkjqjqM2zllyJ2XpcHJWIU
hYYDJz1qhb9h/XJPnk2Fcwm5InCr9BAGmGfju+YWhzgvdnUBZMn67VnDi6ecxzr4sDpg8Do5MFmA
bDQeDOhnKhu3DBLIesAEHHDzShK5FomCgoYD7slYMYxGPfBrlzGhtiyxIIdz+8Mwy9diGp8edp81
S5S+yWrvI4mmD6ZJ12LsngZhvDpGjGxUWy9Ch2rhd8ekT/TrEInijBEMvhaGT4zk0iLc5XyzWnBS
qqB9x6pc+1FrO21f6dwaSfuDHEDN3veGHkRreGLvWiIoPqBqrvPMbSxMrpYPnv0gi9853EM3/yCJ
d4o67dSE4Q9V4alyDHn1ZmRAV245OR5gKhxk9Wssk5UYH+VcnSIv8NHvMZYFzfjdjufB2xZeujfz
/DwZ6Ry3SZ5sYquY1Ic9Rb3f+boCJnrwDXy6AzKjdI4WsKxpqq4dbSqH0XDf05pKghp7DrTk8UgN
EGrifJNK1VlPZ6TUVHx6DXNj+g3M/i1g+n6xvVsgjtpsBgTu6Tti3aZiTpZusy7a+GR4S87lvJ44
or+1Sea9BYzTPKJSr0DrtHNQ4QISWTZ8N3ymRUMwCo4U1kqr+vZuhs1LTNnB9wRbLIgRrvV22mSn
vDbB2kMjSmr2z66ymChPEO25zGLIQwTMPDoyMucNpAefQwJRkXsyRMSk/HVv8bKSNfBRTOpvFWNj
C6SvCc+q9olxKeIZHitkv0nBbzEFfB47flyLaLK+GeJ329aB17SGt51kHs9lFQ9dmF0al43JCPMX
Dp7t0XdKsfEJcKHqMO/jS2SHyPcq0jBOevIITyUh/+nEvD/uSRQ+4+QG+JEzB4CpJKinx7Zu2WDG
LsNXOa5y23uLAJt4oWtuiWl8joP1AM/tYBoVXzkIZcs5+AVuhzE/lEGyo4WScfnsQ4drVHEgaj/j
wthZ0F8HXLlOTzOD6uaD3841X6jJIeLxI4xfCcqnT1GVzROrSy/QQh3nwY3kZ2+TD6m6w0ecaxsr
ol7Wb0HsZfGegbp8jPRxjwVEvHqChlql21vd+yvJUKPdkQl3sB57jeE8XFwOAisrGOtTXwqKUINp
X4n4V4VBtJsOZWG90PrgXzvmy/zUeYMPtl+FPeil+pkHhl5IHmTnodBGewdd2TvmLcN47nXxKXDz
nEBGDsoOP1FsyPqx9Skx7CYetoDLYmgDo2/dV33It3rJcoNDPLQRgoyyO7Z95F6sgqfD4kyLyMLg
2evMYW/X9dpJM9o9RiN5gDP4mMbU8WDe3RV0XdAUXGiPZkGNuijCc7e14otT9fMlEHtSeG064ynG
/HxS+Uvc2aBDr1RiTDJcp4Ct7SLEAOPiLy1m59Km5RnUWONKrDgBuTwRT9DgPYhnJxeJHr7QJvfm
HEqrcYYenFXFSJdyZRZtIi31tjBpazFU3u+iMONXw7aeaYK0rFHu4pzzL0/t1ntAvatJYjdPfRG9
ek76iMwNCbWrx12qm83BM6QOOMmAscXouikj+UPXeeb5ZhFmCSSt5r9OrhFlOgyuESxJUm8cl6Lx
LVc9VhM/+NXYhloJlZQbjFDdbuimK8xSWg5q46kOZ7vCu/jdD79195G4wCpQHym8azFClbL0lUVB
TeqTUsdT0VwFuufLyMBUx0BfZW9Z97PQmjUGPp/X0wrTEzdoAj3VqrASzoBzFaITn1scKkbgkWVq
+mpHThercMtI0/Hr+KySbos5InlzCssAvsKacE0FgL60l6SQ8EJOo/PXkIPxt9EE4krt6noziOvk
X2PPPmPr3WD6egCktC7m/LNd4A+OzUdLhSZ1LcEO+PFIznf+WK4y3+lMiNW7WQ4JFVil2kRIa48c
Bfa5CKuzGDn1D9jLdsTfmOZzlclN6O+9Up92nXwIF2Lz1MLeNDhCuk1Ct0izYpLK60hxaHOLk295
gymSWEyJ79ALLDgfLJn4LELvmKnHEatYS5Si7l9b57mK3+L8M86+maEkKeEYEUGtobvHWvgGbM1a
j3CkSKoO/Tt0xWte5vuu9dWtsmPjOSkRo3nnRcvpiz0/OTHku7qx3XHdJKPZuMIgQt/epXZpjPSc
T6R53eBH3RhUQXrha4Rnmuv9KrEHzJVRdrYTvyPmRn7acbKYh3M6NA0bhG+SJouy45iS3Gwpk2gB
6Y2bFLk+2JiUDBAaVNqJeb2fbYdhU/KrVDTUZJwCbfNM+GPD52j3UTWSrcSr8FgZwVrncB+SZtqI
UMeriC8Vk98pHyvYpHkJ2kLUr3YUw6suO+dTs3+WvJW/3cJ84VbIzdh47ynJkdkZv5MNEcTaDgzi
R6wZuDzPqZ2hXfAJ+l9OREpxS4Qx0k/KvBP7pHLB0Z9bukBM/VmkvwONo7++0jm6oEbg7RzOubZj
dR2cZDuUe13d4vrb4N97E1mFncuYDoGx17A3p7uxezWLF+JPUfUG0irVdqPaRsPGoa6HfQPQ3mwI
0LiB5b1JHdZPs5/JEmzV9S/HxjrOzqM/jO43Yp2r3PoLM6jW7ZS1d3Gat8fBOXfBt+CMcWjOFqXb
mlgIBtI3HzHf3fAGOvU7wgReqag4l8X3KH0eWHLJQfB1e7DaJhqBHByXnsfiL0zSvkoeHL3bdVmQ
QGcHat6xQ4JlowTNzd1vpaWueVRKsjaZvS3SoIHBspZdtk+clt9XwY0rJx4RwOhFMI5rXd+PFAL0
yQxPiDPjTbbTJwWh4BcsqJFTAJEDBihRx+JX2s7fX5qRenOTYxumHh74UW7MUQ4PipvKvqpwrcLf
lSDbSgZQimhXgxQFlhTe6opoIASFDHVyMj6qvo7xDreMx2p6TQcLpqpHqkvRQLg3VSgfJqyWm4Iy
lKHrnmtfWuso8pyrJzqiPhofIWTBWXeUTDz5kjmulFFKrMQ9M7EGGTqWV7PTj8LgmJwGZ0iSqzZv
13nnb8dOEKPu8eIa7E7flJ1ixEWURvcxt3rfkbmxNnWh03Awcld4KSEt+em7aLl5ov+iC69Tbjt1
tnHMY9ZDgMeKMwIwKTr4eQKHK96juKbRp8Rv4e+qMD1zWKFMvG7iRyavahUCUjy0cZhBAwPRBxAK
ZIeievpYPQmLx5Q1odk7GE55xNn3CKX7sGqLaW/wvrSWs5rkK+u6Gzurnk4One4gDLQUa6LxMYLe
WmZEbWWXcmGHm/g/2Dqz3baZqMs+EQHOw61EzbM8+4awE5szi2Rxfvpe1Nd/p9FoIBAsWYoTi6qq
c87ea3MQdbU9oTowugh5mDr8v0hbgqRa8d7jLU5PtScx20+McJo9sUkrY3BXlVEImgTsX+G21TsM
X/kGobIPxX7fI3WKiS3q9ScRBJuoNXF/K346l7E4nJHK7+ffM8OHlUh1rKFcf7SnPLb4dn5PvBLf
Kpc+Z7AkDw/kISBcRuq0iekH6m64kMVLThSIftf0esn4FjRMtuoMbVWwzCPOoeAvNnCb/MCgShiS
ZdlyfSYkWBGLxNBsOUx8iF1Qx5SSfesXIHIkA7ChuNGzhehQHoeFISKqwMYfEW1hh9yzU63CPlky
uaJhfeJPnH/G45PQ5QJ+4VIjyKhvUUKHcI7bRS45Vh7Q11IfoALv+qXlhIygCE/ry4ViNFu2WKYU
2qYX+cxQP3JooHlY+nO2EoI8+Wkn7NEURwzn+JTKjVuovtW/cnZnJzI3ZZKSlHoZ2izcp3FR3/L5
RhbOWxNgqsnxm5ENFoHap0cBwyRWiId2Q7qkX7Q6vKJj5YmVV2Y5W+h900kBoUCVNqLXnvOJofSj
8T9IUD1KQXJHGS1L5O8F39P5H2WGs8gSwmjqkh433oUi5CJ0dp7st0XX+DbR3vqkrnLvryzWE5Og
qQv9AlF5hwvRpawbHNefOIghzFsC/li3XCNR+GHEzykD6ToylwZz27yYoPfkMLwlp1AHaqjEaDL3
29WVZxNRRqhy21yi6EMWdws1G5U7vpvBz+3neTKdqIIeMhENerZUbWsh828Wpdi+ch0QhhHC4+mH
cWXFiutjrz4WRo38O5rS1ZjXp4h/5Gne6kFvBOtW0/8oPY/gCQxxg6QmyZssa5WjwMm08+ZcIcg6
EC/G2sm9rJ00pgydK8/gVK0NaYsJPM3K5Mf1zdK2PcYCDialjxRtmo8/jBgBq9V3Myi1y6r6lKex
4/dTFlKFsX0MjgGaPQx/mE5dRwf2hJaNhyBorTkkJCfySVTNdix4b9vOeYpFeuZTDwyaMFiEB3VL
aFZx7gz1WNTR3qV31sr4KGhRDlNDC9ql49ylz0FNMSOIUvPzSqeScpC5QtUsL7KSLzZAgJsu68NQ
mSOOr/bd0YT23HnPkJCCRa0+1W9WW1yUtDnUk3l2wuYQKH970s8NI994jrbJPHlQiMhSoz9GTLUX
FatJuCuD5DTcB0tDd9cF0s2wsc9ZMxwxvLPePNWJvSrazq85l9GjYoJzGdGzYqLRdCC56a4qONn3
N6WirUnMnon/lypmNXAFBN2NXgy1wS5XVnmP82OJGJX+Q/ulphtqVo6j8Ps9uOnthBqyDbdKNWAa
C4JXwgbAr1LMrLxBeosKDROCkgwpc/mO/F7uTDh76AJqtI3o7JecEG5xK76hsajY1UNxsTutIBW+
EpcEs9XKNbXUfzxWCkgovHBaWkOBay+AjgVJ5FwyIwsZnx6GpgVHHDry6sFJ43Bv1lcpmM7WiC/Y
2rI3gRFwYTdeeZdV22Lxxhds/nUrGPwBPqCVF/E6RUpARkn9GTEwuHQMF151cc0Gx37hh+YHWWZX
oK9EbnQyvnhwlZdxKQ+4980T13BLRtYZxEPpF70orq0gkCIbKz80YZK6o8dRKH0JaTUcpraQc+Ec
rrq8iddSB4ltgPKyXFV9H4T7EkbbOLJ3YaR/dLTsT4EpBW2dQDsFfQZhTT+4VoRXQZfKPctFsdbC
ByfGbfYRISo+Y1z7ULjZL8nVI6ANZzg8vmqmSdu0qnK1rxpQdbtm7zeh0MFDAYKT2TYFEtqJ1lll
VmrRObVM2peXVk3Kk0n7GwvWcCgcNNh2pyN4P1l0yyoU9vBM1lR1VSq+iqTgCB5bFHrzjTJFm0Br
u4WZEJtppllxjFRowrRgKchtYz2KHhRPQ2heOpAdEjayuamOcm2MOUjKbNpdq2xL5mb3ViEQIEjJ
eDYnPJBFhPUgbb0YGUfyFTnElGQ5WncbRCzxC6FKW6iWG9M+RiUSOqVBxsGchbp3AJXgIDWNNMnB
C7ksXI4uL8nOC+QK5XGzVYfymqwteqpRJLtFpU/vmEEy4EhWUD/31KmnIbV2RthOl7KCkT+l3gsf
8OHkRrQ2+vit1PKb3cZiYUdui2eFcrRyyWwxpYriPMYNOLZiZ5Qap8fWRghU0TSJE3pViZHu2WoE
MigGQib55294YK9dA5vuo2+an6ic8NknIdi0MhxPANhVgLpKesRjR7/LNl9B41Q+bZpTqDkHGz9a
THuIU6MgXbvJQOPo1V8MjDj6FATvbgyrD/Y0o69kXbe6QffDCJo9eghEe9Faxpm9ipvxF4C/verG
jEwc2+V0qouFQCq8V+Ig3z+++ndjxBgxMkFsPSSSfRw41YVWYofDhqbK2tKS4oyeOzb2Rel4Nz4H
yZKaIPBbZ/jW1TQ/KynRqNg2cNeZMFDDycxg/NXKW6hTuSvN1sJ+CQqfgREdukukUfdIzWVFBhmL
4GbbR4r9mrlbCkT5rAXqK70ifVV3g8H77GnnrtXxXyJvnAIzIaFDb85IusAjNMl1rL/DyGXhawHn
h2NwJxyj2DiWy0AlU8v94ytbSxwfIFGweAhGKttI/HwgNVMx+9lQMO1gJ3pbOWruS68OcrlD6bdG
ybGxLJSH4cksBdAgcDouqYrjp8hIikU4+Voq6LLxFeE0QQzvS1pGNpt9Mui+aKr1xCeDqPSkvYkh
BomgO9GOrTF8L5kFmO5Qf7IejuuTVoUEZWTRbvKa8uak7wwwlkZgPDta4a2NurJP9CYnNK6HnP/9
0e7AhSJ+FqsOKAX1G+CqFN/QURuCcFFKb1rVultubK84IEXp9rpr/Dh92C/ZXup1C1rtDhZ95QrF
Y0CPvcxN01etluZhLJwz4rr8lgcehmbWLWpuEbzRQYZKUL56tBQOKftN1WIn7W0EFvc88/LnvG7F
gt6qt8k0qLyatL9NkO6LNiNz2BMIyZ311FmEYeaugXkK4Uc4XfpQn1t8QMy0z3Cr6bFDM5UwvIq3
lPajvesg5rxWIlzjdl4GsXbL1ag9h1FDjrRgzhaRofsaa+XdDNWbbg6ZPzRyAmAAxqsykOEMJUVI
JiEQGDFZ2eSsjk9er+nn+dwZh/me9/CaBHH2wdKKSB8/I+BIlhwRUVUQOsFJYk2oyxK7TKZm5VlU
jjhndD1W3cwOnmjQ0gicH+SnWzuvMy6NtLYYZP+MMHsIftjrtUG/aH7x40aqKCQIYuEoZCIbaY7d
n6LOXwtyhpmyZuA0CFgJ300hP0tHkas8ec5Z+gMjR2WPtABXabzunD5dTy6hw0bhrMqWOFm0Eogd
uuptDN2XIUP/R75YtmYXJxnZ8YSvI2taZu0iI4TNiCIGdysalCpqe6jq6B/PUV71yyQLf8YsAM3E
Pl4SAMVpUOgYedoq3HT2pWeqxksp6xs92g9J+EPIwNYA5qZn9AzChDSJjM9bEJebltm/TvaWhSBu
Umj+2UWg0bEjnDZJCX8rR5p3kYatGk1e75ulh3sBr2tlOYz4vFPZTv1aergj1fQPqjAAlZr6YnDg
KGXNf1jUt5jzOOENC60mJgR0iG+XUQc8MfXDYfhDqh31lEoXurJWcKYQGaE9NMn9iURB/FKYLwNA
JWUIdbCpCYunDBepuBkxAB6qJ1iV9HkzDzVC6STHYUbmJP0a0W9QKq+qkEy48k5yVCQWIPUYxJsl
TZKk8WJfM+lwiFx7NZKcyKop2kMEXM82hDjLz7nnXMsi1p/ZchjKtrg6GWHPdLd4B5aExUYW78zJ
NGbjjPtQd63LKZp8S6cCQFG1Td0uuJRA2gaqcCMzfvMiB/GlTqsB/COY6wA75aoac2VdE4r9isWN
YTRTE4W3cWL2TokjdAiovAWh9h7MeT/2H5P5gG284zLcZoW+koa50EdCJc2rA8aeWjbKTqrxptLc
CMnvcRiEz264yGYgrkTrAXva3mJ4UQfxD94/FASZ8hrrdn5o1CQ8pzeyIG0CFmYlQvPZ5t9w2LQt
6/DGDqJDcrEh2DM8CuwrC8HFy9zsJQSYnPRutNSLmLKeyc/eTByx8SrlOE7EvcamOdFxnGbXMlGK
aRsA3Re2s6jLKnzLVZIJ3H6ydlVN8Sws9Fg1eJpdj5HpmYHZlZa10/1gCPygxUPCjMkLozmQi/RC
ZEsuZZfB50K95tW9sLEWlt9jPvpKbqzDhPde5xsFXbJXO2h8Nf7j8MuIUgtz6320PF86j0pwKkwk
F58ypIkfg0sPNIWeJPLQqL2BbGIF5/PGLrDQTfR+9whfol8rHIxLJZ7HjaxUuA2KYplUyk5YcqWT
8ABnseU6bLNlQw/B4YNkZ2+ApheNvarqswciQ4gv6RrbzrWXxYRFE4VOZu6MrMBK1KnOtU4G75Rv
HJNNx4vC9KvmmnJDAA9DlJ8QfSEAEQR9pbYRfQGb2XWQjF7sTG93U6pxDGocvI6R8qm5eKpN9BKR
lW7LFBVDZGKvoYeKPjUnjzCloxNC/7SuQfpGEnx3V6qNG+4DzwLbxIVug4hZdONrnTnPZhLAxclx
QVeW+puyviZGRhxq79dW+IHAb1eFvwXSt9ol+iyhYax9c8Eq49+JSbUgJASjIteZ38XFSmXTzOtg
TTiM6esemcKMzgjfIqoGFn/jbJp8UJYTxrq7EjxnhSxuOk3fk0JEiVklyTo+6BrDLdcJ1nmrPjVq
/NIZRUaLDIN/N3Xy25xMX8EUnnGAjMtriAoBkr+b7FpbIxcBrwgto3j46Eb3JyK74Fo20I31lBHW
4/E4QkDeM7teV9kTbINTNw9CkfovnVztPxo0M5ukIrjncZcP/x7VaPusdbZxrGEZ/fe00UZF0oKa
jLSS1CMCaK950OGVxMd7CjwTiWhq3NJouJF6supirz8gmk9vuNSiRask3ScjDrlM2pE+cH2uvZQh
R8lI/5U6eVGzv9GaN9GLYlBeiMFgYyG+idCrVAM8th5subCMaJk4syNZX2D6WrrhM/l31KDv3vjq
ji8OzjzojER4IkTRqAK5fMDyE6uxtNFR4OfzeUuWhXq0nJPGoLgkj1uDQaYnb4gPlqqbr8B4cdan
OCgxcAtOhgJBIfIsDwwX427GxRolSNfQmnA6yjzMIp4/1AMIAuR7lS/owVl/AynZUZmbwYVpypGk
SBowDMlCmkIKMYCjuIrw14D216Sfcwe+JfMyRIiqMY7uUenRSIKvvHT6aRn/gAVdanDtxdyWaRlO
ZNm6ilV/si4RNkJM+osGoLJVnBrnG6GWX43hvoDH4vCkQ80Ro47ZU99ZJRPtzGx/IZVXi76Xy3FL
Qi4gSWlRM21o6ycDmIdJy0E2wCnkr+BTklTvjfhqcZ+GdH9Ff9Qk9juqFmlfECitx5kGyC4TQNHW
GTuUBsJYHSOu/d8WmMOI0Pg4SQy1wzRzeTZzwBhqV664xG9Z5Od5I9uEbzGYoyL1pYFrtH9GwVIw
v09lSwcefK12UwQN5OaDzi4ja0GzbccHYZlWdNSHOWrEW5hV7A/W3RxwHJtvlo3TYqc4s6c3h4eD
riR8cuznMO0W+M+XWvXEb5JYSbHQynoRtliHJSMcl6ueVVMNIngKn+jNeQtbYrxLiN4r4ZIoiOsh
3Xdc21q7B6YGsgGpfIXdQ72bRF+iqSfhBeqCx2RULgVHOTv9DRrbF0oPoY9OCsAQx/sb8V9XBlou
8+eJQV3/ZZufRvgnq4FW+vHwAoRgUSlnN9sZKDzl45jw61Bb8/dIeMeugSS1vqKYJ5zpqyr2FqRA
DcURh9EFcWK+zoG6dr8TtVoOkNnS8m9NvBiSDGg0ha9oP6WB/ZLx7hC9dIq3VCZ7ofMGRLnCbxO/
QcUPwYqA2X9GqS0LD3/ku+vCh+KnmLWxriU0Yrm2M674uEdJ9lNrv+nACMPKfZDLnMR1MoJQYJJG
mAREKmJqoPom52w54aN3+An8I2MgUGPNwMzi4jEKDhrEHrn30e7pZjLAEyh0SS+iCc9AJUd9tSZD
INoWbpSvrcI7F2ojX3TCKbdkr/ZrB3TlR1C+MqU1EMPfrSBHmV11FEP6jz55u4mxyzMug/55ilt/
gMGMDn540Scddjpdhg2JhN5bMGifxNan17g162fXsFatlXy7EkK1UgXdvh4YLrZ2e6pNc0sKnrJj
MT5DrkjvapqajGvlAcBwek+qXL15kPXA3m0aO6Cj25CkiNypKekXOM4GHndyR0wY3xEs7qAyo+vL
impVmVN0LyddPSvgJAg9je6Pm44TmN0wwwhTqZ5sCR9ftxUiJLXBeyZMhq2KTfmHAzBnTDv4znqc
1nz2OIWqQ7vVaPxsLRjq18jVS966pv+WIc/o7GpNUlUthLYHdPA7NRgPnbYmwwzH7cHtTRzM2kTj
mtlJDbHhpYqHS5KOwd/GTkg75UJlSp9twl61T/9uSjVAZhytMfdU/z38eOTfE7DyBwBhBeih+amP
b7C3o3ahMU5H2DBP/XwzDdk27EvIz/O9RM6IvceXQwGyEKHE++NpkLfnnv6foK8Fg8xQPRmO1Y+s
RO47/NpiG/f6dHp8o5oq9STi4huKS7WstR76Rd3ukFcG7yId1I0NE3itWZHyXrbxsyyNP/EQpgfN
otflkZC7gWaGtKm2gcNCJ/eFkzpLi/nNwim68mNaJDkfMx3W3iVqZLUfo+6Xf8KHVSnOW3Hphp+8
DH7CLiKYs43NbXZRxmm6aoX8NR3ZfDTdtEHsgKG60OMPnd2/r+u72ZrfAqrvahhBDA2uwq93pM+u
V7fcCO69ibSWfprcJwpNii6W5SW1aXvaikY0HO3LNNDML2nLvWODFQbJL8kc9MRWBUq4QRLYv+tA
Hq0CoIdAXZF0JYOXUl5QlTuQ1CfmOChMZjbsV6Kaqwhy8KIZpHFKCVU46Kl2LQgdYtbsWbRSG+DR
8meQbXfHPUWsTYRgaGbRHFFEELcd0lFfwGgIt+XW1fu7kue0/V10ACBDFyExI/se0hBzHy8u93Cc
+k1qTFtNMZZ1W6bMhytiKmvqK56ZTICLJSFfQ0+GNLgFdz9ZinG2nVWdd9+q6WeWAZm9I4OnDMxN
U0r39LjpwpqOhl7JZY9k99EOetwoQUx3xp2O9EqxawWWZM2tU2sbNFg59bltFAZd4y6mtMgXaaZa
6P/pLD1ebGV0QWD3H0F4sFY//i4gf/2yc7SSwQ/PI2kW2WeRKDPL36aJYDprpGEuqwYBWylNYz89
OZWEKQrldJGLVufYqxxMUWs3h6gnNae8dZruCpJK9WXeaCtmO8JXSjQLmgv6gt+d3gUzwizZjU33
W9gMxuvGOSlWDK3UydauhiabLM382VXmzX4qfsP53uOhsLnDd6VnaNx1Akqf7aT8EYySj7LPkTwC
U99ijIn9EQTsNosj47nOxMzcTXCuzHftFI1t7TDifdyNuS4vo6cdytLCOFRivIzoqD659TqqyTqV
ff3aFJ170C2a/yRB5h8jhIwF2WjRXnObg4UR+ZLgwl2qZX9WClSKI/Vm4+QoD2MHNcvovIX5BGiO
Hwlj5TC2Ep3Z4KzRZyrUq6pzMjqdSPvIzK92kcSrUe/Ne6R17rLBJPHSegKxhNt37zIxaQy17fRl
C0TGRdGzIYU/iWuTAzDScBKZcXJM6ZHdMLuharuZE6P1M6wm4/T4bjyZCCO6livPI9qKlFfS+v6v
1z2+fLyYC/tqVn2xezz07+bxdymOoewRMq//vy/tNC9fhbKEov5/fvDjibU+XsowmwHI4cZ1zE+R
osydAU7OqldmaDbDqEqf46v45TG476vLLPG6TNI816xd+8c94RBD1wU6OMWo1kiQLG9h5NlXszjG
zmTdBFDXrVXSFoiM2rjbLSQRrxqTbdtY9yIYss/OMzS/YiUDmhRxkhVTfuu0Hlpa8TNlnncGSNEg
4+Lj3ykcWJJB7rWMjpI1NXJREQ+zLr1PaSrjvm1PxNdGZMnAop5MFBos9Ghwq+xPDSsOa4e+cfTp
3HIC3GsNjbdSk8raS9sa3wtdC103fW1uatDk7DdTZCJ8ChtUpCnhK2rwx06AsdZqUx1lFUODm8pu
VWPV289pKyzxVehbtHrWbotX1g6Nd7SUZOpGzhGN7p8ytYINFhEX91zzogcZ/cLOgm3GydAIWh8R
lr5ztYac86gut3pdnYK0ri/xbAFVJ2jMojaHJWlhdFEG6zKYojwJvd4GyMI2YYkqjKQgxOo6qp1S
vDcs0WvHK4+5U5Jz6sUfroGO0UiTaEdCb1DW3RGngXk0ZQGBqCxQlZhw1sdYnsOaQIUwTa6J4NPc
dsjzSwGUerLCmsOOlZ8CaANCBDGixVmR0INtJAWKE5yDtpUNTEH6Ew2sN+SKxC51nQSvB5XnjzGg
D7Fsmt+MtfcIqbyMcYcmHTTwsXfISCouikFB1SG+R1upaEoqPZGgUmyLDIBgR5FRZMSo6OFThTIC
PL73qxfGM0LfYl0MnOeRiS1IHl9EObnyzmRsEoWk7MqqtL2s+Qv1oDtGrZqdLVwJVcOb1ZBkwogo
3sTaJHcyVhkmN5rfGkmFyxJxAsbA8SgLdsZEmYNI57v2ENAGmL9qnIYD/7/7BOiqfv+k5wmplepk
rVSze+k95EictIi1ndDqKF3yVTX6tGSVromuKS0/0QvPz5EKDrC9T+WIXbLue/Oig7DyHPCzDe68
YbSL20CJfdbAvI4lYNxoILxkOtMOVQ7EQBO+skarHeM2A1WaZM8Fdm5kQVitkijtT1o6fcOT7Tai
Y1w42DXOQA7RC8zNRNpKaPqKlcK3q79Khvk7U/tFEl0dASU2Jx0HYetG474K0vaY07jYoUzDKls8
66Y181EZeckM20HfphS1At4ZiV6mzFUghOo7+DCczUZ0zkNO/UX9GZTsX4OC7qDvTDht1MR6NNCh
iC9EXj2pnZdt+zhkNlsk28GuFlo41Rds14rD/6dmMMA/l8LatPCs2D000JVuhwK2sC5XHAUUZJ7t
NguqlFhgRnAGi9U6VYNraFpEZiiSkhn80LKSckLC7YzHxGbHXzAS2cadVM7eFG87aSA2DprXmNPo
YgT97ttscYuQajpj8sVOUB/cgRoCvPaWjCE6Sn2Vr5AvK5SrfVPLw0eVwbeqCKigWC3SVRoARa41
mrP2gOlpwI5S00V3GufXDnL1hDxeMH3X0vaHGXrOpGgKY2VFZh19wEkhdzIy/+Y9kQdMT9ZRSvY1
ju4DmFl16WZavBgzGft6KKplQzXkBi0uuMBiP8pnEQm91Lg9FqN9DyrDJYqeSEDqVIGmLFpaHb6c
oRDhciAPaj2hPG4rDZpNV1J1J5G3KrQUvRFVSUhzRtVMpLr5yG+xsqibp3iNZwMqCIkuCHxOmQP6
lgDuBI0y1vlYNktW9fat6/uVVrGKR85TPpKsErCs43zcNV9DN6onORp3TrzFG/Gp9MxzWZ0fdwvt
3RFud5YJsZdEJawyIU/54DU3gritU2oj0pqM50701mtfkybUxELZeIW+Z8pGNw5nph8DVNBxSsK7
DD8QEOGtdsd3A56wn2uaA2CSd1yN+rXuvLjlZMH9zk6V2/KB1odLqNTQ02ZXbINIrgT3Ty/KA/U0
qcc8LEB/63w4meHSoo9JsXHJklloeX4lbVYuvcF9LXoKbAat5qqnVZBHgE1ppy1brnSLWpCoKyDi
OkmWGHpwXkb2cxo6cHan/nsMixerLf3ULb66pGacTnN2gYZwmcU1LD6TTF41Dbl2ouCvkWfgc+dp
dOY+ASmADTkRStuOfoSsG/17QEdFUCMX54GojcPQeTey79at8lWxBILbs/TlBLNlUaT9eSxsDSPs
cLGlYV8LwnzcBINVYtIF6XoaL0NDEhwLw6BJwq5UApyVjaBbCooZr7nr7bDuX/pYg6ZXR0+aPX3H
kYYY1nNrH91Skujjls/ztonlsEPHdtfqvwmHiF0Z06aoatphuUmN3g+ImoZIB8mJ/1FU2kKOrQta
g9HFyDVEj2/QVpKOxUWr3TdM8u6eHWXYS2V6UbwQGS6m4xZL/WR5HV7W8axVOR5MtUA7XavvUT+l
O135NPPR8IHlFqr4sAvPOUTJ+KzXNA1Gk35RXGnAUsr219SL6WpASSGQdqGldb+H1lWuzZoZQYks
ZNu1KQcLh1yMwjNO+hg7NyVhQVUC0NHVtKMP4FzTpHKvZTX8wm0LdvF87/H4hBk4Ry5Rd9XR8ZIM
aTYLc9bQjAQW/N9NOX9l427r8JTQKU4EuDScWsiB5pskCv/3zeOxx10bMMzMQWcQPeR7majAFntt
XOaefFZirV2RVP3llZl7MyhPPNvOLo2CosKQ406z9dZ3OwCDqebCfPMgUfPibZXyZgSkam/5ZBOQ
e04jNTtAsmSdfHwJ3Z2POcNPpPKzKyR2YYxaSMItAha2oJLhlEYVKRStiQdK55dcsPzu7TC8F0MT
b/KuFYfaoVMm+wRapVTkCTSxPD2+ciEC01PnUnSN5h3jQfLGur8FtudtvIR+DrIB4feVlbxqfGpM
Pk8Gw9+fnH8/h4Dgu8N30wwHQhXGA0zK6TB6e0hzwX7IOoncdn4cw/H03zNUr6/3KoSyxw6Dyj69
wACeNIRYdGSzy7+HhVddM4v4pP/ncV3SzK0UCBePV4+Dk50UZi5m2upv5izaTOo3XI/zmJPu2ONh
G8PyJjDCep0FoO41pYlWVHzq/nHjKREujUAlgankPaVR8Lh9PJxKolzzKqWnOAXR+d9NPnP9JoM9
Kfcg2i46IhTUBcKldFdP/dPjiYGV89bJAjBTrR2ntmbVnX/xLjDXQ14pZKnx0OMmsSpjU6YoxDC3
mJD6Xbkt2WgjOufJgAJ48KgLlHIjyJDYWkhBUJ6aL3lSKsfWZj8uHM1+t/s0WI7GFIK1U4f35huX
7nCCfeyCenkOAkW+cvqUa00JvvW06w8IYQQp3tr45prOwBjIszflfHeyGRfgjHXOAcCR1x670FiM
yJB74zS6CFL/exZmObRVzHjK9urOyD5IKBNieoONqsSIZfREwkWVGe1aHT/3IJplp9iMlghr2iRT
qL3gQOVgzqHapEIIOVdd0oTznYem+0OiIyFtJcdv1DnWS2SH68fjE32ejeeRakSI2PihCXDEDGye
HfGm4rY6ujEBeP9umgZSQhxZ6DnI5UCyw3e1Uf2fpwiB6z03dIbxFEuUynz78dfUoriYDRaHBnUk
kWIOLY/UvRqBhSXbEb2fcr485sWwwZGMVDwoos3o5OOtn28C+n8o6dN1Z1vkJBNXcvN6fCOOLW+2
xTxf1bxdrxZ3z53dRVPXLkQziFVWefTKabf55OlJ3k2z+xPKt7hqg68kHy5dn13aqopvE5i8m57J
YJW/SbsWh1EEBIOPGjJSVy1vNELoF1soNpIBo4HioSN53FDE1BtXwbHktiNv8Hzz77sCVbM6JT02
8v95wX9ftVHnRwGL2L9vwEXqznBVHQigd5YBuMJNdrcUpz+28z26HfW1ySRte+49npWo7NoNsiha
Lt2bSbSZn3XtkxUMgo4N5gpbI9vEa70Ul0KZ+gkORh9lYrWLvHb9EBA9bmh9SXyhw0B8iKPumGsv
e2ctRd5cDMt6cSuRnKyY05OTdC0KCxgJk2cd+V/nxD3rzcbOOL+69SzzpwuhdF2xijo929omEu6q
jnYwvYsVSC8ovw6Tn8lzubz7xGKoXvTrvoZv3vQom7I4YYTtda+TSjKHO10Vz/Eh/jdHHdA663Xl
nLrkOig/FJZwmBWZLb20/84a47Om37BWJoWRMKIMQFZko3pITqyEa6AZqUe16OIVqbvvoTK2c8iE
OxDVY0FHOIUy3GZh5u7NR/CiWtzAb2WoMDmwM1Ddo12/NQpICWHPwO56mIdhLRZsk40uhfN+qFUC
K8yGyyHv6Wa41M8LyAJAO63+g5REYnIM2h3wlDCz0Vctmx+m/OnWjC9p2mHboERfVcTpEGZbxEtX
lZaf0pQ7ht5b2NvqNuI8Yc8lCf2TL3XExTjqBpTnPNK5aKyVbgTavYsYV7RV+jeGlP/sMjJK7KjG
zI9hTh0b/WjiDTsUWKL0yB23YvyunGQXqF69T7qnyjCIg9WxgDWaw/E5S5dtIteumiOWku6mk7Jc
i5IUkxFs1V5L8ieHmnjFG95vqd96zXqlssmpjDsSjl0hfodIMsqfNIYoVfNGBJIfu96sxFatZdMN
LWqDgIGsUZh7MSuescsfDMOhuVGAjegHMzvAd4caBTKMDWiePiBi2cMwXPZDtXckEY1jy6oZ9lGz
IYnI40ffWRyqTSjY3RWttV6EKXdtWH0DoRGLrCRYKOD0yzxJ4bCmp38aw54o7LHB2z3CtjR5Sm1d
3+sESCCL15lqtpjQxhFHg5zCdZCwUMArzBadQ8QwwlxfHxCj5izogtnEpjchYomMqaEbb8cMGVZj
BIfRtrtti8GQY9TwjnbjfxF2HsuRI2mXfZdZD8wcDr2YTWgdQZFkMjewlNBaOICnnwNw8VdX/da1
aFpWNSsZjAAcn7j33IRduCF2pa7wHybjgblXCcR6FkZXI9naeUrvvRnQQTnk1UEquRbCBFyBBSRm
ojGid9xZI1MnXzTOHTAWdBRHj7dCd/GsUsCt0QdZtybEH9NBydninKsfpgFWNMfOvrMAY+GS5WXi
dDFvo2IbhTYP3Jef7HyVnyYqczH4FWA8nmixwzQuz8EQtl23RZFYrXkt1cFQ6YUWLyX2S2i7fmS5
GnXVqaE2YUqUGDCxwoYnkiXzHF2q/wTJzQLZUH2ZOmIn2H6YvK0oZseW0acDUjcXj2ZMftSpKtZd
gz4kR67KvbZPBmLMUkLfznRCh5Aw96ttk9bFcMzaMOSQNyehN7McVhsabjSttKaLlnhqn3fUNQb6
QVL25JlBFvrBNnXXWt2Ot4aNeOyQTOwOHqklzOIn5SOUDRvUjkzBH6OLBLaWbbHvQpf+fdRfSpvN
Mu2Fz/gxngF8iPATaWwG0wALJLSrBf7t4hHahhcN9zHKy4c2uhYKX31OS+fkQeoDO4iNM9qNpwH+
q1l5HwXBT9vyS6YjjrdwgECMLY+mB/sf91+SeO41ztv3IocOQ45Jdg0ccLaR/Go2SUHYoQQQwuFK
5Jv97KjZq9SgWMtrIrvbNPXOTEuyYyzSS2U1YL5EAIEdgzE18Mcoom+4jb7QwkZXc/5SUGubMe+S
bjFLMyRIl4mhRV2ORJebGJrg5exkFpJX2uM2sZITbBgW+zl5ykLxN0KKO5gpFt1CBNndhDwgWuGd
vMC5BYkyNubo/LIq8TuOvYDdXrS2vORds6riAbZ5X4ThcJNwwF0UR62Eg8QE/9kLDlgwCWisEjp7
tyRRD/E1eYuMwZpCK1C3Tg+2sT91GEEMhcQFKjuxpgLvSTkFj3CU2M3shlfeEYXJZlQ7hhmJ9pc2
1KtbYDf4i2EKeeqj1wlkcjS0XD59CgGb+wIHhFUXMfaHd0eOLbLqYFaUIaYqggano49c1iM0CKq7
fsha95s1jfapHA+5XsBZLuZ1PiNd07L6LcB1Fo3Va+ImyORRhDbIwpQ4Tz2imW7Wl+gJekk4Lnye
eBWExsyh4XoVMGUOIik2lc3OL2DvRfJLQ8CfKq+QQYHfSzLKWg9bcB4SApDajJ5n5kWUUrL7NYvK
LMtPOPq9U2lQCAttPzBMvfksv03u+FuJh0rPL0PlSzK7EYTkAaBhTZnybPc/w8wor5Vo9DXS02Rj
8jDbYF+Cwx061zBA2d36oTxAACTOI6y2U8eeyxX5u2/XSJ/H8aNTDROZEN9rP8eylapEtw/mzekS
lAhp9As9U78jf4+bo0xKNvFjthV0pwypSFwBTxCSndGS4mnDhXXDPy3kbPS/dYHjBFdwqMHTS9yG
NOPoTxbE7q4Mhm90Bs1xnnkrPTU2tt2xnkq1pwJr1L5rcTz1vdevidUGGKdHT60lvpkY/BCPla8p
9vCLUvkencrPSAzf4WXstQKh7xh2clPjZ0dhfUxHR+3Dvi9puplWOM4WvkZxbFJmojrq820e6ta+
meDKazInuSNH11cO/E4emlXWjtp3TQuNgxbZ1nspnJfSivGyFBrgjF5vj6awp30/77ZblE27LHD9
u24QK4mTl2Jw1MdD005vZZ08dKTBfQAafFAJ53zb7iDYgH0sUXUwgWbdz1B305a53PXxJgrL7YCB
6alqmxdbKXU80GEDbFDJq5fqoMIcPm+eCHugUckWaYMQ/U+SWj2UqBTdpfZKoEVgnp20gdmnb+He
OTdLc3+5GTmTZQtMsaqUtk6E++ZXaACiUnOYs6QbxZDluc8FYQPhRwLJ+jbghmY8N61xlehnqjt3
hx5tY2skPlKKvQrMQLBVRlyL40PP4nrnqAzvNjZJd3j38rjaZInO+gl0iMP6Z1XL6bsKgnHlN+9T
jCzOThIoFwXvW299G3Eo7ZrYq9emknj9EwnQR5FuHXbPE2s6Fmx2tx6beSGrDGNledWfGJPRSrfL
32XBMSBa5MX1d8Ngc47cvdnJ0u0Z63EZxmZ70Yq4XxmEBmySiCQio941unHPEzu8sV38gSRx2rZU
gkbShRc/do9y0Cj0Mhcrl0YhuHwxAyd9eIH4XcrJPtXEBztl+VZow29YG0ShFPGwcxu5lxFbmgSX
2aaTGqrSIjr4FseykUUsM+IeO4P1FqmGX4YCDHUxCQbB78huu+tgaBShgldoES0UI2ndE/G8klmv
nVM2KlCPtvDIOLzTX6by90WpU0aF+Xezl9+pQqJtjEGd1Viuzn3BbqaLPiw19feaDkM4ZrAzNbM5
e110AZKtI46jouoDBZC0uKlxCHdJbfWvjDjZFAfjzrFGf5tDxHgTqYXuuOn+yLhLNhkxg3XVXzUN
tT39QrdCyTraU3TFtD5tUFHFWBRcf41UZKOnmYsaxfoZ83hgPgbDx+W9M8jftfTBPkyyhEYT5zDE
2mPggWJECjpuREA0qlYh/9QKfId5zTsS0JLjst34DSYer9Kfay+UWxbyB1UF/nb25dYkDF99h8c7
EDT2WCyu7OiHl+kkmtJirxyLATBQTeK0yT11OeJXDqFXPAvgKE60aqzKX3TfdFdDnPlMFdnrc8sX
9FJoVGlFBRtVF8hcDtamKXTMno2vszvsDzSMLA8y5rHQl5EhUNQ2aoQXa3vvpezJuiErC8KXcSRm
he9q9WEzhj/8SE0bu62cjacpzGrt2D4rCdzfGfu9l0l7izK1u1ZehmYcaJiTt+z35y+sNb/ZMrWI
J+FKnekTHN/iJSmQhofELZgJmLhCcyu+s+GsbeoE1wHz/WTIiDkgbYX5Bo+cBf9nup63L53S3VsG
Xr3OeQYtLl4WMFrTz7y4xGJzawb5LqSO2ttKR383MvU2w+SXPQGGdDx1LAI2viSYUZwpUz8pp3oe
U4P4xxmzSOIFT5xKGTsTVXli2OuekBRQo3Z0JcacoXivQ45A6d15Kt7Y8aDdnZQnZFIa6VtQ/Rz0
wXoJ3AYqkQ+8DrgiXCaD2h3bgL3KM4MsIeG5T0HKIKSff6ROn7tvHWR9UjV3aWHc6cO9WcDXswkC
Xw8WweKgl3ESGyhaYlYkYZOHD8PtvkHrI3M8s06K3nwWnS2ES6cVxcbAvHKHjPu7rb2eh2/zUgVp
zr3QNC/Ld1nhNOzQF/nnHNNv7Wm0k0kSH9KhpO7S4vuCfSNh+bZQCm1DnnT2Ecg2tfq6vOm8o+7G
kw0CPjhdN68qNAhLHmkMIcPqvCvf3c4Qey+C4+KX/hNnrGLXE2zz1EDB5JDRliQR5AIWPhUhLoFd
Vre2Cewrw2cQD3AQKDnte2ES2caoZm1qMCJIOCDoRJbVGrQa6hPiRau5ArVxpxJj16w5OWmP2zC8
1paJJL4yz1oZ3QNlTaeGzrMrU6xPRhxf6VaLo49VIja7WF8DME631aCJgyodeOe6j9ckaqxP4rIB
adisNdZRXsT6K/Lf9KKcLhNqpT1Q//c6JtkvsmzGf4nZ7xn1zvFmMCqVF3l77IVM4njqXpY/+SHu
j9ous6ehdbaBdPpXvn25iPxRza45qrjlSzeHBRdz0Ifn3mXjPie5p58Iz2GS29PMlhjtuYDDhq2k
QxYsNP6u1WAtU7M86ZiNWNTY4gUzCHYzPQQPn9F8Zkziz1OrnxyB6nTCdXqcag/oE7Ypl9MUy85z
5RnizZzG44Arsp2xm5HGSwvYEIxYEQhepeiFVDjuBHFtj0yie24R7iLADkeIv3ns3bWYtEQ3mQFb
DvFRg4m1vvKCDCMrT5VoyJJ7IJBSB/HPT56nNN7q3FXX5UuUeDpS2LE9CjREuvCwkZhmvAkCV+Px
TtlNqOsHjuy7ZhDOIbkHr/M/DV0cIIhmtzvGI4BR5IzkJFsvzei+enNUSEOdiIvTOpeYh1gyl5uu
Y1SCOXagQRxRP2mYO8wMSozQ8cii4t9wJSDfyAhqiif+c8uIox9llG7d0trpPkqZTIudz088jEgE
mxri2AXPCS9O8ltQ+uLHEJAizkxnWE8qBCdhen/+B9avZcU6GnU2pGmDyLPS4T2OYdDvJt20mMgU
2QaQmntwMYu8UfEwJh0M6pO8NIgfqeNxr4l82keleu0acRqTnNdtoNwclAh2MbvbK81AfYhEdWyb
7r1k4/oblNqamJ1kqkDDhAGJQypxr4ioxq0UA3VwPFZPPS3eW9m3zF5nhvjyRRjjsMocBteDB9so
FdGNmpXiegyeeZJAb/Ungwcm0TCfr18L0jdhPlesRqgtEWh5RC1Y8F83IVGuKzQCfIoNmQQEaqWH
AXq+GaHLQ2+d7mArkJ+qRo6RWkNRV7cHO5/8JwWsKcODbE2e/p1zg6XAZIz7ybV+d2QufmGoDwRo
fr/IAksZGnMNS/niRYXzRILPIUyDozTgMmAmq5B342f3QnNrRClCI3b2N/b6j/kJfmwD0Fith5ZB
k5jPfc2ifC1/V+QjkUI8ZI/l7XaKvjkstzteYZaO8yjH4klesh/a+pK1M9IIh3l/hpcO9Wjpul8m
74WM9nCjK7d5bgqgSJ/MdiZeHqmPmrP/fLb5CFiKNa7sB911eEDBO+FQNZ1tkkuTQHqcNCWLLXpr
uzpo/N8HZMeAS2BZrbsSVXMyWaR74Ytc6Vr8C8tztgPEshloxSfktLWbMkvoGuLgURW/ZkCOj6My
6wuIXHBdQmx6zE1o8rOHmLmiSxLD8gTQpOKNXw5pbFjGSbnlLvMDeatnaK9X42MbHGmtyWqwN3rl
H4y6Jac+avrNhC367jX6b346tFXeB8GQB+CCPwT2ZhoL/RWwA9Pk2uifkqI4BUp/JzhFPWkdopBC
V98HFYanjMlC67x/QpLNubaaoty7qna0zhhyPTzAyBMkk50dcGPnUbeI2GMtQ1OpsZj0bI3YAgzx
yjYPPGR+JIir36eROTbWDb+ehVRgWOfTu5YIOKs2+1KwKWlnVvqEm5WVOqUz7ud6FRpWQSU3p30m
8TT+dDVt1Y0yRp78IwCDds87NH7dEDgXvxlQV3czJ8xvyAOy2ZYbAYpMeFBwbqFdoXGsXH5Q/EUW
8EL4z0axi3CPHIqQZXNAW210zfC0nJ34gtgyzAF9uqFh5JlYxwJceOTzI1lGcbvJI2ubkHL7bYgA
QoW5tfu81mSH6zozzW/2TGYuOwPaTdbiQ2nZgU4W8Z6p5qnDkMtvXaTiLcyL4VFk3QlPHUVGgJNL
TIZ5Cg30H+Vo4MfTmCzFUfSLN9p4F+RJ9XNUhw5Rp2Tmc9Sk1R2EyDHTJyZY+5TNFebEXPryKc8D
PAOyLp76Qy7Smto/m7YO7VgEfIag9ZYZg2HlGBGFdvB7OuVCaUhb5gzo0gJq1TTcF4Mp+o0ywIM4
PRlS86iIOPZzQ5jtINu7aonOq6LIBV1NpZThl1nereUoZCAqfqSmjDfefDL4eoYFwba6UzLMpGPi
P8uZS8FcpUffOsmfgQGsVW0WdjEfO1cdQaioeYfw1roS8liPf3Z52xJcZVvHOFDTlHdX0H13gbHN
40Y/OMtJVevtrmJjvask3hx3Zsr2pQMH2QrID3C9g6jziQL9x0iA5yaL9Y/lp+rS8vamnjKEn49r
RL/dVVZym/rctaVOsmrWJdOuHt2fQWu+Gp3bPds9t0Hkh+x4ETtTjQ/NHW/qDM2ob7Ifj7LM7b05
WMmPsUHkGOUJ/lRV6tugS8vHmCM4ikRn3TriOTWYmj8GuMRoGYTa61wMK1UP2Q7gPXCZ+eYZaJkw
BuAljatgHRYqfU7KIlmPqLRyq6mfmp4NoJ7Zz64+AtWcJ8N1iNnVzYNLh773Bo38hya87lgCKGPI
TXnVlZBNRifcTAAOLwmBMkzQKL2Nnoe2oljcSGe25hAQ8VjeGlaUKLCm4FrPm/hCiO5A6klCJj2l
UByY2iGTcYGdgYLLoxU4a1ZxDcniAlTV3HPw10DAeLFOSlM0uFfMDJsOruPaio3qmOkgT+sYjv2S
oT3h7sV3AS0zneO8kgyFizmJ6BhISBkEpuKOnSM6Kt35DijSeWktDgWZh/O+MvP2dqNzsECLOVVF
aGOQqExUeKXHOht27+jlJpAVpGNL0oZq7GnlulV0aTPcelLP3qyxGb4vJwDLq/I84PjddhV3xmiW
/Ub0CKBbyfHfxIO7IYiD/96x01uZhT0lNWdXqmrk44YxnQApcSZLFHtG+jH0aCtsRAoY1FPcx3me
XaI2mmBsjChZA/UoZxNfjjtto7slf4WnQW1SVb51E/xIYVEP1/hPy2FqJx9OPXY3L8qddZ5Y2QHc
PgZpHqsrD+vws2lVVw9BAOE3+o2wWlYx+Hp2vET9wNx6NVZqGzq0tcs7XodmgbUf73sZqOSCFsPe
TbmgKp2UfWW2iWFPoDl0mc9sy7ouj0U9/mJqE6wLva/30/ALOjBaxp60AQvET+1q3tZ30F2xna8w
SuVY+YOGp4VPiCHqzq9trcR+GKIeT+cUfggYXQgNuKDU81T53rPAdLYrejk8Pt+tvB8In5zvCKPq
sMoACUAo9NnCAo49Oxy+sMQPjP4HagJoJ6WZH2AoBOfENSmF5hQkwUG7aSjdt8vzGP8UfwnOSnHo
kLNy69FbWsiy2++hYEgbzuW4sFpMro2GcLS0sVgO3WoYuTTb1HqJKgvd1Wjx2nV01POZB/C7Freo
9ftrXaEp92ABLJEEk0lrPZUlYCugIiswP2xeaBZMWdyZkHmb2sNUqvEdW0NXIXjpmdIl/EtQOuG9
aNXBbLUnMK8x268ePkmE+AXXEGNVALellpkvRE71mI5qfdeGWbdeGs4+jO9u2DWXoKmQ6SHIOi5N
atEYiFeD6EWN9+Vaz11cu0qVcH/i4c6U1DkvLSpQaqRgtrx4VebdudP0DUPimgQLwPzK0Xggzk4x
DY0sqEnsk1qLOcHDS3MvVLhpB+fV4DZ6NvvIumIGeK6F3h17Q78wqy0J7wbkPEGAQ7+oNWeC+t6q
IN+W1ojFO+/Miyutj8IZuCLmEsroOd/VpJ+hNdTnJl/nDY6zwGQaCWKEzkeE8E774ZQ37oPsr2Rt
piMceSPk0+q1C+jF6Arbj0EC4n/0chZmF4mHNKp184YYvkclmmhHwlvMsbMuYVpVm88JAUswBwza
LW71t2jMgCL2aXPL2e9ea99uT8MH85SCR5qn3cPJxExhTG+yR7uOggPErt0hNquCFhvpI6gx7Lu4
EoJUbnoXxgIKL/+sUKiiJk/nTzbWaJb5jcl1eLSFcrfYZkyEWGo7gu2w6lR7pNLkY3Ftbx0NVvO+
HO1T274NWXac4kS/Dwj91pmOq7ScimNrWcZz2cGZsn3KnokRzkkE2k+3EO9TJMIflsvKN+8A9aCu
eUUbULXIb2xY2HdRVV9orIaLmfXV3ifcAaofY6IxBuKii14dZWOuxgYX9phB7PwscLUi+tC4R9/z
yp1WUdLYV2agoEPH8qMSqbpNdecgUQ6RzxtfnB7Qf0s68AOjorOVKbOxjkzwR3XOLsvjQ7mQcj4P
/8Se/L0xr+bctkmvy5+aDpdpjyPz4Ie9+dDq4r0TMvraoCF1BnVPTOSbHs7FugCYz4vW+LnuZiwG
i8kf/HpFt7/jO3YWBeOstY3O+AsPzIaKQwdn5zyEWnim+yHgAZVLrx+HqY6e6QXit2Sia63Em5PZ
hwjsGxmDLam9TFeDAgnymOjDRVkj8oYhGNCvta+Nq0NqUdULhhT2CHhNoVkE6o0RDBbnWh1jH+DM
cp3IABs7Uc42sb+EKaSAwHtSiZMk+Lm0UmZU/4jyj+UnoV3SX3KTI1F1L2E8SY8jboiv6Kz3DJf0
DcEKbAw0Fg55ABlsCWJjbDZ8DhDY7ALh4GJbZSXlsN5XfyqdVVwg2/g2RuXS9tB4uDoEPmeA9cj5
99IjXdqmidbv9GHqnz8P5pDEMANn8XJxafBJUxT7qsLBj77XCI56S/WAqCl7xTptUuDOTdHoTXJN
SRJc8+4Lu7UVKcH0tqn+LWxBn1tD+cueb8MEEdOeZAKDJ20XvsDAWA1l7V+osIBw9Tyyw+o4WLjy
ssp6TwNfeyNSWjChFQXag8S7O5Si8ONk8HOK3yQxPL+mliNEtEn+7I4JbekUJoflcBTK9d9HI3+z
iyF9Kol3ewI49tQUqvkaV6zZsYAFOx2rxdfIHRCSaSICJ6XoGxGRzc9wdMnXGBDWuDRo85cCwMmI
ZuO4tIFCkl+U5oa6auEIysmr3ly8IMtjZorhXZtmVxOiWxBD8Bn34ZrivQIYl5HLuPXSCP3YmBY7
q2EpRAO5XUIv0ra2TsXQvMhg8T8IHY8Xhru+rM7/86XMSCwQLLrOKEHvqFIkc4owuYxGoZNCn3M4
jwBngYhuXJ/F5fJgrEdN3qjG60NmeHKdscv7TXwXwLKxBjfeTAD+Q9iJLmv1iyASnsVyWO9jj48M
H4w6STH3Vw2q2sKL2Ogz46J9Mou1M8WoIphMO2fYYN7eaNtTH0YaJEozx5rvQ2EROWurEnNCJMpk
n5vMIIqC4t+fx6qxsgrGU90jdW257z3+NhsV3UraZftgvFXcRd3x8gie/5ZPkMm0Hh0iQ2bOG6N9
juv6WquJcFkP2Xma4huPUEmd2Gaarzx3/I1nIDnuPIu5CiXD0vrYU3sIzAkcixibgw3NhIEIVpEi
sIdDo7B8lGnfnrvJDTeznRNT7QB5OicvAV3cj7ogKri3GZNyrSVfuvTkLfFFWDmB9sQOFKHSxGwD
eTboCdktC1V+PuG1HClsazc4RaX+e7mYGhsCXNxz/1mir5/yPv6Z0qJuDIZwHAjGe+KHcI14a3my
bmJDhF9HYFOhMX7lPDuEVk2udCKsFyOYXlMwBCfGd/ULGlL/tFx8hC6b66pM3xJpSejqaPV0zbP2
dYzMCqVwJ8UvO0kPMCEwNA7XeVT4uZHAMwvnsQjCY1Ob+sbvqYSjZGpvRtw8uUaRHPWgd3jGu8HV
dMHfALr1LLBpveHixcdkAXjDmMN/m+xqEpfKAUlitiqC4/Ix1BqCb2vQL2zQ2Eu7BtVBraDNMLWL
dNPfC5X56yWirYwo0BghvMKHcvY4IEJSHC3cXnSOjumIg8AXEoZt9txM7KmiQjwFdm7/EnZ96wxQ
KS0DuA1155pOTT4SF31XUVDkxvS5wZBoryVL+lU+IK6AnXpNSvdRGT0jxogR2DJLhXEY5g+zGcLt
mPe/gFjNGM2WGKYQRxQyKoXcmmi2LO2fVEHXDvwvQWYm5Bc/9eMdvyRpJPPf4Yq1Mvxt4/fGF3qQ
X8StA9+u4DIub4uINCa7Xhdcln7uc7JQfStIdHuuTbKCZhu7lsnzMnQ1KIDn4aejrNnrk/9hsEk2
rW9411GRH7BcZEtVtJyOmhmAN5Not5Z/lzgVE5eUIO3KeR/mSb6ZBtXRTbBLggDe0Qy8sYx2eRMN
58YYDjxGDSV8+UcZuUTPZELMTMSPBB7he0dTiptyPCHdO2PAzR820TEPnYf98vMmFyRvFJvVxs+F
etjCItGwI9AAsDlDto4UHjseo+coLx+2DDEVZh6fVjOrckWzEXbUboOxL/aoL9SK0IivSOVxM408
55c72qqsa2WQHaZNN13v7F++nz1hvu546DMELu1z6fTGezHlz1iAYd0qp2dHAg4sTlp07HFeHa0x
/pG0RXbU4cncWh+NE0+PI75T0LaC6QfxgpvAav8IJnLPLm7DVZMYOgk1TKKWj3D5WVZPZAFhtBje
HNFflj+ZNq66z4mnjZ4buwwRk/aIPksy/q1y/RW2CtG8lHacS6wclu+wkOAlKdwMN6Dzj8h/Q3SF
UzRqp73Wo0cHWh7dAm7cPQkAKKbmA81Ok+8TOqwlTmoifqFqkuCVkRcMVHRLc6YHPaTMm8PykjMW
QAdln4QZTbvP2zOYOfg1/NUy65P1cryjaCovxhhU59Sf59FIME3iKn/XTuh+CDzEuxKhvCRSBrRQ
slOxjE99NrxkzfBmUlIubUyejtOt11CW17ugq+hBxWBcwr6YaGP4cybZlybvKVjmK6KgH8pAc/pZ
ppReCW/Ti9QjF9wvdpt/JSUULVtE36jFsAmX8hVTr0dJ4PS7Nn0xNMIpqhnjtdxxOe0wvnjG9GP9
1LMQOI/m+DPCtP3AxuQ8MpJjj42pwz1Ohu+lSK+gVtgr6MRpcKnqTDj5YuEkvxXdQN/rrWRvyy+T
Kx6fT3vTlRcDlkxPs3trcrN+srlS1tIlSmMZmpsp2nHFgzLK3HNHkcPkBrZHoOf2/b/nyhr/zPb1
bGm7Qsfgw3JO/C3Is6pEF+CIJLmyx5llMMjYJS1F98jYY0hw/lhKKy4ltqVxbOEPIDtz/GiDvra9
FzWWD1jdxZ6GeGv3lM+tzJovNRr7uBm+ocMvV56shnXquvKpYMoqS/C4ArfwWtTkDwSUpX8AnKbS
gzaol+e6s779y2/496hSIT3bErptC13HNGP8LR6bxI1uEgEujM8rkmlcu9Ehdj0keAE0ybHZWyxv
2UArr+63aVxWG6xYQNZaIPQpFg3NhbQ70AE45ehsltbMMKCKocJnqhIbL8vkdGqJcSIfx9gkIiWx
aV6VuZF8sjI0WmGfvXqQqO/LyiBJtOlgUTDsWc8O2CY1jsisff3vv7k5f3Z/DWmdf3PH8TzHmP9n
G2Sjlz+/czYGzf/7P/r/RWyOM8uOyUNOHdhsPud+FHss1xsSekDUPQCrSnoYv9sK+J5e8cQw4J7j
eNhqfXMxYkJrJoHIYtEf8Hq9E9fhsA7ouVaZgBaftd6Wc4FNn9IIDzFQlOjQzjejBAHkz0OGBjOI
m8mX1m1/jJ2jHVyNPiAJcSVCwU0KZueWKbKdzYAbIYYNptynG4rxAx3s+WpLZdkiKyS0TgNz9N/f
Ien97R3iyufC0D3J+t6DTjlHGP/lHapz3cAMiPYexAWOKDdAhpeb5Yb5ofpp1f14qMr4RARbtKch
uDRxdTOpIr5kJf+mq83iWOTBE3Fx6m7VOlrFsLzMXsuUmmfvGfVw0IwnBMLlB5sInVDgQAPMIYpj
moqLHsb6vi4r5wgY6t/SsuU/E8SJiba48k0B9+cfN3ZoZEMRRzUYaw9FqXAd2P1EDe6ilo2Yk/GU
ylEAbZ0q+howZJ6dvf0O6SV6YFKikqYOicHFEaDi+DGheXLll0LmWyY75Y4Bc3xOtCg+N1m//ZfP
5H974azdbWYdBp+K5/znZyL0xh8yvUStWToUREOEjz3w8NoRDEuIjbbBc/5LehOrFHy1ZI1VuiRG
DyTnKtPgpHKrfWmk+5zWGXXKdNey0N4jK5fzdfuSXgeZB/9yipr/S9S1ZzqO1LnYPWnpf7vTtIHh
NoT/ZGs1Jxln0A37r63LFAVHIivyAERHmhP+SzM7vZQ6a7LmyF7foZBGieQP6atdT19jM/Kf29D5
PUgpyIYbSc2cJgKevd+9q4J7O38x/UMxYGwcvJfchfgxldlGpSRyirwsD7VJSnKVo8yCUoTqq/Dh
ejQkELoWVgKYbgD6x0uYEY0ta/vi2POwi2But67iy798kP84eA1hIK7Qbdc1EKuJ+eb7y82FpMXK
jMnFeB7l2KmzxNgKhO+MkXXQpK5/ztq3ZZyKONrdudQdJMUxSZ3rsDS8qlTdlXIafPL5tDPVAIRV
iuxolwzRYm3babZxrLqezxU+dBbmv5eF67/8EvMn9x9nKE9HYbJINnlyUKzMz8+//BIBJrOxG8hv
lYJ5tS2z4hZGw3eZuN2Bhfg2q8r3pRrSsGOvLDfmBq/ZZKZW2r5kjsCO3IwksM3jkDQNvxVxcHUd
1gnLNuwjyNrxIvy03RSmh5A08b9JvSqfRWDu/uU3+cc1ypbCEabt2Sadsuf+7TfJs7ioolpYG1xx
xtF1FGIlGAz8y6/AUItVz7Wybhq95QikryscPgvhOegdFporCW4uWYERenLZkTOK+HdNK2BdLJiV
Gt5zBFnersnHpxBp5/pfXvz8kP7rx4DBUBIe5Zm6RXVkOPOh8ZePIR8cSahP6G34NpR0aTV7C/LZ
S9MTmT0xvWAp/VxiMTxSWZFUYRnH1kvYbSMeaTH5ZgBo625jZ7m7b7wEA2QQRYxe9QPsjxGmeXz9
7y/5n2cCI1aDZ5ftsHMzpPzb++01xdiMPtJBORgOjMYCJhOz2ksQdc+jwY9EpbdZ5vo58uYNDjt5
9XBnqToBCNpeSzSRR1IRnTXKB+dA9abtWWWkZP1Z8Su6yF+B8AP2NRrzsbZpT4qjYwWJm1/QsqOX
Tjj7wILLyPbB2MS1w1xXMxGEaORgkjhWbWnzPvLR+IWCggaVoIx6xmABgAtH8yCLCqiP/acysUM6
6l+evObfn7zCFjanpcmthTpMN93//EAjIVM2SR3pWFUlSc1gHpYyALPrMcFXrmBbaZDhGQUbAOhw
+C5flDC/L01oORbjsZ7DZEEI5jwIEnOXOcgbUodk2rwBCOf3yXkadXms0mFtDLp5V8lEhG1WGquA
odQGkB1cEBPHVu/W+NdNnBu5rdWHMG7OSYyzQmv8/WydpKArSEcfT2TCNICn6d2Xztv0xDV3cu0a
oQqxFS91KkYSINP+leLWe7jE1KK0j6J/e0SK/+VU4oKary+PNaxj/f15wy6bM9wWZIetWmbYz1ZM
AmrSQiNFN2iuY5FM3+LU+MqvPD1jOPhc7tt87HAQwug2oOpwuKEgSs1JV9WUML3zxjtz4JyraJEx
6qgSbA9EgZUL40vczYL9vD7ZpU1YbDeRwz7kJTqqbDbIc2El45S+qahDRmqsFvkbDoMfAGPGY49S
ak0VRWYaFf+q/P+cndeO3UiarV+lUffsoWfwYLqBs73LVFY6KXVDKGXovefTny9CdWakrYJyMA3M
oCSl4SYZEb9Z/7eYuGVYbayPIcDNx6ni5wV0RUOKtLdUqdEGKkFMazBbotqYbiCYqvYzLIOScSmR
peYgMcmM6x2Ba3Npo/YjZp0es78Ek3OAT7g9LfGjarukhUXZz4f4WuVmcBTSuFigcfddAolOm17o
5KEONG2xRwtPl8TOMU4q6nKPmTd12bphmGAeL51w7xZcYQrWMaTIeG/W6Y0FjPNWQ9Sxm3rMmpgo
hCXisZzGbjdXzBw0HQPYKOswhh6qfRVVI9DGSJcUpZsuRedf1T2TlFLHqHmBt+v5e5VjFBmO6zkA
U8D6+iVINYwF7dt6YIWKELeyNjbPtlm9Nxvju2jQql3p7csyblqctL//Zy0GWCqymBlCliMggVuR
Gx6yVAwNXW94QY0Exb9J/YMP7fJYNMvr9wKE49g1CP6sBRrIqMRYMYbvYHp6MW3fPzgxBhYxlftH
GOjOJiOP0dOPxUxnwk9DkzAX6Yo5AUpeXBwq+3aO91Y97hgdKpgctrASHBhzU/kQ4Ll21Ttx/No3
y7PBqamqUu4YQcvxl/Zdj9ofxwb0G4QIG8uOq/dTHDDaTfLP6/DeMMAPtjAOEaRPBr3PPn/snUV/
F/fLU9lGdJpi0zhHHdgUgY4LN6oO28BmehbghRCKDM3JsYAJzL3NRBUgdyT2EvWdf3XHcrrvki49
x7DE4Jrf2yNe7ZgVbBuG7lTBLgO/gBlhYK3HFAyayzDh2pjMp7Ejx42tfrwUtvk9TGgD9EAhWD7q
0f5F/Vc3dN9G26N9/fsTyPh1jzVsV87ROzaJgLjObsxhNO3WgomeGi4SqMUA2F2Mxx4i6DEeaIDI
RtHCVDJVFWFAT6XEefBrABsQ8FZKKZWgA+3hthlmPu10Exym0eXi+PsLteRm/+PpzlGAet0kT/Vk
YCKuUnSDgo8+lDNzHOoQGrupZsIQ8R3h5WEkMdaFdoj6DvNCDbB06U/v4fJX+zAqpkNnvyvcft6L
LoteYIEePM1oHxvIJDfx0DnUgPh724y0dTekCeKCdldE4Oonu3Uu8eR+0hLXpzbkPqV9jT2ah81Y
PFE8bpAf7JplEqtgEulDqJmnggh0rUTZRRq7b0Roxq8RmuF4Pkm7zZau89x+PhMhEXJ8aamcM2DM
YfY/Mx8Xbz04tOu4BwsWQjZno4RayyMvHpKE+jHjpGehubcqGv79Y/m76/FdQUJDGG8SeF1FMOMw
OYwH0mX83r5gbAY1dRQIVL4NnWIfvwHbDvAyaxtywsmvjot0YrQSsBFBzCQIFUd9//uLcmT69/O7
Ypq0B0CYuL4to8KfbxL6tkyA/zY2FqMGHGa02q0qBAI6OAhEXSCSIaeSqUXaWf2jNJXV01G8+E5z
mHW0O4Zz//09a51aPzi5459mqoaDlOWG7vwZ3wdAQ87YHqqKw1FP6+5Rbcjhk213CGIG1z5PqSvg
xuML2OswTIrZS3eMSgRH0ujiIiwPebCDLn1DkuTsIH0gKG8DQKfJZL8u+YxTWYiVND5UBxFMD707
ibXfzfpLgU8qyBXzOaSe6ILIPYfUIagGYnNkmdi9d3YAsCkwL1nfzNvKozf3+1ts/JK4uaZlGTYc
a1dnWPo6NmPaMbE1Sq6bsKEjK1OeHNuQ3qe8BVH6AjoECAFNCHZ27UPZEoT6lZHsW9MAL675J2Fp
2s6acbl748L+JuyxfR6/7cnAx/KuipV2qXtRF5jYq+QWGoha+tszqEnpOV7ORZwikMDT6YhVifdQ
F8HZic2bxa83sHjFa9ghDfAjLd/1Ek8wAGR4Iy77ZcGY7GMIL3zqAKalQ6T4+d0cYqumLxXqW6Qd
jJSHQ7dlYsnYzBJ/rVXh1o2KLyNFufPilU9CMz+oyk9NBXIdC6Y1fn+/zOt9leuhQ+LYtiGE7/r6
1VpB2zebld7p2xgdymrkK7YxOsbFf2eG8bgjqdI3sVNnQMmKCl9Fb/7egCeRXDGGnZzLYXqNTc89
oK83j6YM1Xs7jo45MxjTTHW3lsWsCiGmbxWvpPDYZA7OdI/7QrB3dcgFAgXSG6+Bd/0ayI9FSmKb
uu3onmFfHReIq7Va7yB5jXN7mlg6lO72KtKbIjzlQzPdpHPFPMHUahtqE8MRbeN0l/omLmz9Nug1
/9OcAKtW1YeezYQ+j1kveLJaEDWK2yIHPnDKyxSvKHRNYE2Z7LSL8il0oM1UDr6fCAxHQHcNciOa
Mdr9AEtB90u47zmGQpqOsJsu8E4JLVsPlOy8RCGniWPd6tz2lSvKbsV8MQRyKZNHTvtN7TFZ3WLS
oMEOKEY44AGTjMwgbD2jBCYuJZlexIiUpGSaAx7rwgzpjtANYjR/ys4O2wm0wvHcLvaLASllVcUJ
apwU5bk7fTGyuOTDFViw4gypBlhKpKM0TgMuKwdyA52poyfVlDuTZgP2XE51euOllC/d1QZOTkwa
b7m+Zzjm1SIZo2w2LEITqPodJi6ott8lExh39iLmEeWMQlIy/K0yrCqxL6nPqAJTdGDcApAXrdkV
x7BN532kYfGezkV0Y6V4y8d1da7l7IzXI2KPljdOZ+uXarprGpRJhc6KIuO6XtxzjsUndr9cd8IA
lSvQMMKoqC8qIdXZ/Datp8ND6PryzslXVN+maigZBS2BnZDql+OETVmgpaeyNU5VUDhnLakt8nHr
tDjuCBoDV9Q4RYPL0Qm3ojuZFfAQVdVavLTY8tZjLjq0ETMtnbGPfO8Os0RsTyDgbilP3v/+SRnX
24fOOeA6BrJO3fIFEcDP25mLPZPIJzkJPqJiUufjoDFKrpSa8DaOSVrNH0No4PaQzGjs4zVSvurF
7fQdUmf9uCw06GVTEvB3JvTLNHTjKlWNwTcu9Toq4Kxi2ZimYJLCND0VNfxQH8KgyLXmOWy25hiS
HVFvLSLAV4LMUE1hoLL2oM18sZtileUu883WUJ4xm0AKCgHu1NrOC2IBLJCtTtvC2n9+4wKv76W8
QG4hM2N0GRxbdSJ+uEANii7LKqIJOfvzWq9HIgX45Ij5NCgBPZL/yXIegRjWJxxw03cxxeIQmy/t
se6wOeDN/0jU83FuewoddniTmvBefn+NKnS6Wpk2YadvEIS6Nu/5z8+bgSPLQ19hb1J73ji0Bteo
gl+X1i3OVUY3Gp1Eca9O2MDpwOkjt982QP0iOeuYAfhk3Ms561MiJ/XCg8iz+LCkjbZzgILR4dUf
8Qn89PuLVqX164s2bEJCyoOCTeWqXVDYU+SBgbA3AYL0mcHN+0UrD0yGPcfIPfCLBqtZLViwCNtl
Ttz9Zlf6JPGU64qoJsgJadN4kh83vn3j0q6fOeuHIMrmdvq+KoX/fD+7IaD3aDDhrOouVvahaO3x
LJiYwFvEGT/czyISq0q41p95Gpjktb51GhOkPIxyaEwq57gEiNS4jYNWnCpopreCDfH3V/k3T92y
hCksnwifM1UFET+8mQldnsalH7RZeMTliMP63CeXpHAYOBWwFYoAn5Qg6YCDorpYFXgjm4tmHRW5
kOb0gnMuaILW1NBq45anhRipJ2DYigVFK9a9NBdQhf9vrtqiBOY5/L9fciWGsXq9qwaummmC7eKC
Aip9t0Wr05XYgDTLMWFyHFrneNu24X502+rCW3I/CiBb88wget9Bl/BD66l2T200uFssftAg9zfq
EInbrNv+/pod85eTz+JFJXlxbQdEniPzvx/udBqLakozYW8QxYtLUC71PY3/B9VeBEbk2jb8tBlV
WIU6/an0ZrNfVxm3momWT1HrM1Urv1H0WMo2+G6AK6FN4MlIQltmxlxyAAMGWyRds+EZBKG4sMzF
xST8RZQhUJaYAGniuDMxSG/Z7NRIVxJ8YArc36mRyzBM7oIguQ/Cuj3ksSMuaE3FhmiZCKLSnrAm
RbiMQBbJOgWD4LNndZgEe2Z7DjLjq0D6dVhmTnKzHyjnxiK/AE+336gYGH93KykcW56v27b1SxDB
5FdSO33tAlplxU+mtx/0NN6HCxPjem43JwQH7nZenIF03fMPlal/cMEvn3xW1f/mYhwbTKVt6HSK
rtMS3Uv6RGsMd1PnLdj4Ro70MJjEM3Iwm7UG7zaWjXZr6DJCVuEdujz1t0MWpceyyvM3tnElaPh5
R5QJkqk7psscmK7u3Q+vWdvBPqNY625so/7WTrV1Qh2dYeyH2LM33MuYSIqCxlSsNToDXtRxvW17
/0Ne5w+uE1AAo+Jv0Fc+x9AA6mRCvuRiOj0l6bO2YM4M2sA440EH6BF3d0cb9H3Pm4XICbecWEsu
cUBnXLU2nMR0zr9fRsavAaRlk5XSZSV1dmhu/7yMnHlmxI7U4C9kwdjHxLQUrBLNRGQalxuCTuuI
xdK4j73iXtfBZnhu8ufvL+Pv9k0aaTK/ctnlWdM/XwadxyEUC4DJxkAtldjPujPZqBqz5EGbHqIG
tjkicoMAEAOnBC3GdioI3aoStareWyfDB0Qe+3myopXmQ+BGPjLkoU/NGjmsEiAEefxG+eRXWYB8
JfifQw8QyoVxdVxOcPWTOE2Ylm0IpoMRsAr+edUGOAhc+zwG/5CO5spIKJxSftdvo0X7YDAvcjPF
3lff71neSepdIg1ilukg0m5dytqdi7uS72lo4qLwFI/hAW+q+f3vb/nfBKSWsH1OKVs3bFAUVxuo
5ErMRrV4m6qYxVHDj/AIyPWYUjleM78JI1qYlGijmC5FD6xzdtw7+purJq28la/jhbEqkzLZzT5m
RDlT1R8m5KT/k4BUaWuuFqFL2domHvWw8bhWHc1lWfTojnlJZUNE6XOh64Xc58y40BqneT+uW+A0
j20n0MEEjAozqH8Lw2ilEsHAzR6CwtcvzaBHGyZTxx0LwnwcRg5UxDsfPD086ZE7bGzN6S9KvCwS
kdxGRhPe2vaNPbTLekgjfzfIpCpqQdIGvsnIuOOFZ2y6jwqwYBhZ8MZB5/3NCuU146AzCX9Q1/o/
L40iK0SFyfFfKxR1ycCxFNckmsGEm2hU5wS2YbQrI79ktIbBydACiN8Yob7XneqJvk7frYCSYzQi
R1EZMBM7oH0QjgydcWctYybbCF4iE+ZHOSfDRdTaQG1eSg4deH2q/7VLc6yvsqV7RYhkHnJjelCi
fJsBfTDGA+5vNPc34zi/UK84l4H0iS/nkv5O9ZJIGomRQGXBpDHZSffYW1hY71RCX/Kir5os+JAZ
2M/oVYi5qJ4n63z0mg1DOfoG1LF9q8/Taz7Y73iZnXPQYdi5m6OaCNBOBVpihoUnv47XKGH0i1l0
4jmqgN4Z1sUxxvy0hA1sH1sslOHwwzPH4Y1M/Bd9GLmIZbBT8oryP9eV8esPB4WrMQQM3onTXSoC
MMXZd4y3nKswTQ+MC/zZyvHmCJdaCF7xXhjaoy/LrbndMSmS5/6xb/svaRE9igkbIZXkGlOwbDxZ
Mqymepv5bXQDcMK+TBGbMVYoa1x7wh3dNO+mE7jz9MThtQxxWoPMJwy1LbOQONyTpuyykHc7r92H
lv2c8QqYGz1VltoESDu6AYyVMLJvCKl99lKOXHuK3zhqVC3ix1XMHTKF7qrwmEjJvXqRQ1PDC0Gi
aIYiMHeAT7J9WTP73eA2ODj+01Qzw0aWrG0tqxUHR3RYwerDQQkCNRISB83mPcjKZKdhPrOpsoKX
szTfp8Xkns0CvlC63CVVAHemNcubxMQdNQP4+0ZM8EuWpD6I4XFM8cQd2iw/P+rOokvW1IA9lYIz
FQhxgZ19shb9WZVRdYYxxsFq3pnYvt6UXo64IGJMjCgm99ztktTac4RmeiN8NJ9qW/+Pz9P/Cb/i
kZjNYVm0//5P/vy5rPCGw5/56o//vv00dF/r/5Tf819f8/N3/Hvz8H8f//GtbP5x87B7vP7Kn76R
H/7XL9986j799Idt0cXd/Gf/tZnvv7Z91qlfwmXKr/yf/uM/vqqf8jhXX//1x+eyZ56MnxbGZfHH
X/90/PKvPzzKkv/x44//699uP+V82/Zr28XXX/71U9v96w9T/NOEgSQEwkm0ZIhH/vjHyJfzL8Y/
BSe359OTQa4L0vWPfxSobKN//eH4/3QRzFGfMjyZzsmory179U/eP4mVDL6BXImfxj/9/8v66eH8
98P6R9Hnd/iodehEfykqU2eh8s7voTIE38O7iiAwIU60lPnM76OU+dBApRr6DyAyABd7zNhPuIAz
di1WWS2+4qDxZEP5h/cIorrFcaMYnHezBloqxpR6y2AgLCwX/wkNtuwW9KeZM0FnS8SC7abHuI8H
MsnsEtitgUui1uBpVL5V3PslLLKIlj2KHp5segjvOrIY6qVK3IZER+8MDAVybETrSUCywvxn0uz3
EcXuNWDMYL/kAQcw/p26OzfHhGK4XzLspNvRi2a3wSnRnW9Lbb6Hg9xu8harTcjdh1Bv3jWeaN5Y
14T1LNwfdyjd49Ip8LO0CemMa1XX6HX1OPW1vkkm/dmshnlt+pjG2BEfA5g/CDetHUjD/ZNNChej
x+M4elkciLmErxr2Tt9cBsPUl9aazoCrET8gnVx2A7399QApeGtWmPYkYbLsUPLezB4T+pUP8HCS
liRVre3CEuOBpFlgBg1GuPNMHIg1dLL0FZxTajOdAVF5WKsf69SwyuuuW3b1RDDijnp1KAF6djWt
NY/xNnzsKm+bwVaYHEJlt3fhlTHno+YLTGvQoA2ODPSY1WMQx0xVMJ4DuTZ7jeOQumwbhSAU/Xbv
JIy6m3XzkFkRaVk80LxuC+/er3z7iNXNV5wu4i0o7Or779ZhcBZoIdfcbq515hVgxmbf2Nh3dnW1
7FwXZ3vUo1/RQLxgcuzvmxzKcKb1mGlX4CtNJIpJchFFFG7rKn+P19xBw/tsk1Q9oMIQfX1ER61w
QO83LR59c5Xdlovfnto0/4ZMw5u1x6V5Hj4VnG+rshXnsjHrXWh0z2LsAEhjFbVSt21uL5yh2iaW
Kyd04n5lNrkM6oEsRGUHvEDLbDK2Gd/DGmdJXIAf9EX7GM05JreF91U9hqTnu6u2YOwN8i+5wXAW
qf9nw/5Cp8wb9noX0+ORzykJUhg+abltUXgcQbTcF8XwGgwi3IBqWXbq8SUc7sclbyXiNTgB1q7O
WZMi9qQFpmfw3/zhc8Zw3dYr+NvWfI9vFWX9FsSLU3PzqB4cw2X5bLWSpMZU+yQ1iYhwiNfq3l0n
o1+dbHkPO73hpZryp7g2GfjITJYiBgukvNZn9fyEmby6/B9wVvkcT4KRMMaQ+TrmNJad2RCL1GO5
yczQ34fw1I4k6k85MLsV7CsfciDj5vPkn9I+PRlL/Tl2w0fQ3FsfGudl6Ey5V/GDKFB0W73fZSnz
mlhDQQNro2dzEvgpj/BrogF3S1UjAfFPWlU+ugmDHXJer86Yfylu/WGG/TbyO6NpZO7A4hGq5Rsn
VbtRC7NzD6Fh9nsRjHyYiqYBVTuMr2pqSUXBb/dBV6HHwcpFfFGvRFeK42j0f31/Yi5i/1rKJJmA
ijEpuclVBv/aMwbq9/weJfko+0+t7Us0IpYf6l1tqSgtor/7769Rb29ile0mTJt2lYYsePXwBXYI
W82kaeUegVpDbYVwuqOU/mcOFgk4AM1BTG7uYiiAq67F9HvsC2DJ4cCrwtj5Oo6WebXQtlWPXn1w
9V9ZZQ3rrqlQ68X+jdqMAnkP5pirVL9afTL1Zc3IVDb8DAboIGoDR1pQrYCqjXFo90Acn8rauV/6
tF3ndHJcvdG2ifSR6yuMHdSXqx/tpT743czv+b3+I+SoMvVWk9vNQCehXkAs/6KFzSOTg/x1nD5A
/WiOSKC5axXNhckV8Vr9UWdrXsE7HjfBNA57z96rq45IrEPHXrYhZCy6SPifZL3F9Lx4DYzk/cyZ
D3z1KezAe6o17TInMYfQdfvIYiZZo/qyDbPXItN2hdZT6SqQz8WN27Dj+TvOaIdVHu9nV++PZV4e
RzukEhY32joH3rn2mX7dcaDSBnERZVflXj3tUqcjN2ZA/ngbM6dwb9Lw3GoFTiEeMfDkYnkktwxS
8wuClLtabh2WP3xKu/Q+E8XKD9670s7dlqsZI4Qna5kf44K3FsOd9n1e680RoB123/Tvytgpdgs9
wkteXTLYfdGM8WnJjoIAs5ArkTyCM8dojYu6PKNpIZGF32LX2kQoVi59l0MZisZnN35KagxWUdL6
W8yeduou1zPmeaO1wJYMGSuUTcaIKZOB7WQwWoiR2mLgMKbvhr7F/CNgZaggBHdQ7I6W+j2TP2Lv
lR3UuszdphnL08kRSEOWN2EG8eEZLas01LHqIeFCkhwWQKZqic4xOtFe0pSNCLs8h10rGYJHjM4Q
VSBIXuN+2vJ2hdhL7IqYY8KWRyOdKIrsJBmVHkFCJZFv5P47eR66XhPOYKvRUuvdW1z0sEaBFrp1
i9m8L0ag5PZy18qjqrHgvZlYP6qVoQ4u0Cy0bJxtFHCwyd8LUCJZqcKEqAHiAhHyyXE8l80AkmCy
C1zjZll6fnw49pswy9eGJ1ZDXU+3VR2LFaPRq7ng3WDXXnafHN1qNtTR2VTS/HXBRAlYeTvhMrVo
UIXTHKvC1D02db93+xxpPBSvpImx13YpDMwaj73LUHCULtixin7qXeTcsH5rlgaR1JDTxqcMeewr
D6RIjd2AXP6VmydHrUDUoNp4iW9128x2H1VEWc6DfqCqv1Vf6rW+t0rq/N4QknsKykmvvfd6hYmM
eruyen5XJuNWr6EDBCNdEMD6aN7xjDO29TQfrMRBXwkQdYVxttqesPMyaIgAdBhRT7AlDWhuKTQ1
+BW1Y7O1qmEgx8fKIUehstPS7s9mAE1bmTwj+Qy0R1w9arwSGChkbKoJaQ1RjiX4kshqv/0YGZwo
RuKMR8pvLVb1RB2RjqRiYPSjl4dga9vgQ0XLLA57PhUV42J409nIkYlNaWUgLMnvdTu5Z0j5vboR
ONSPu3I2ntTZpyEoWNFoSsVwV1Qd22rGDQ5sOAxjPXOAyQiD7HdbuE0E2I793Rc6Hgeh7uzCaPpQ
mYAi+vrAjPm0kR+KVx3MFfk/UvbF5vFhrceACtITJmBs0dBSkvG11/I2AKJYye9hi0crI7MH+Sco
r/RnwnntRCFlRaIw5tweYxmBpjVegFHkVWsVSORW31A3ciii8n1D9TEF6LdVIYJahOq/okhH3QIS
/fuHGUdOWHPMDkgw2Wrd5tj1vEoisTImuGgQa6PV7wpTDJsq0e+8shnOmCMX4lGdgp7H5hh71lPY
PsQu47NsA54MDcsyxqszrm9RF2LJhn/uOhDzExPuA2sCILv6Ner8HOVe48vwHKifni0vg+NZsBxj
1AVlvW+nYMYnVEbvKX6FRUCtqjMf2lHSJ5tXusS4kvJ+ObhvhvWICsK+161hOeBn1+0ScDtTNBHa
j82RHoC5zeP4W9yCwpwyio7cKBNgzRqCJyAR9mb1VvTyHoy9+21M/Xmj/kptJU7Rv6+thrl5TvMp
ifGfTqa72v4yRyjE1GeoI+tTZ8W7liLwSu1WAZq5rdp78INtOIF0vNnY1KvPoc1spSuPB0tFIpzE
vc0csTok1KbfYElWDT47cM+eqPYuHA+wNYLOvBJdfk5lhDR6y4uIo5GjEIZcVZIA1XW49Xr7NC/i
EXeX4FSgmnwj4fpFBWLR1JWVZ4PWrkmJ80p7FBW+3aWjEW7b3j5XeZFDo2Kc0S1gVMzDTvOXE5Po
2Tq0ziourqL+z7TmLW67HjhgBGBSpBkVYYMD29FRzWnajYkoFY/ZMQdpjtmE6JFpO2I1IgOCUc4i
tDpG8qQPSBobDyyBYeP7Xwb27T2luRcVXi5R+0YZ15Ll9B9zSz6rI2fapN7KQ0R8VR8cxYg/llPH
29GOpD/esNHyd9YsV2zen8uWvK6Jq22ZBLf5DKGfriuWnsaAw47cmdRZKt82l+FZTG8wMvTAkjnM
NnN2JHiSs2jqmT/KPRpSmLGyD2gimqPIfMTXvo8IWT5rahHz2h3aB5PmzijMbz8UXv6qcPxU0bjW
k/E5qY8JwxJoR+jZX+kefHIbp4nwmtBnlmWUE9FrITmg6irhyu3vYQWR88rnQk7xPRV2XNwNoeXd
qfgo1Tt71VZ4UhR8Aj4sUXDYNEeNuLMZJvxx5Zang34k2lzjPp5twsI9qzvz+09jyau9emqUBFAS
2zZKYve6/QfVAsk8PjWbtNh0sfOttzvMmMzgALQthM8f3hkNpol6i2VlWQ7xUW00lS6OmH54m3LO
3sX6+JRrUHjUqlR7gSJgQrJhYN58kbpWoecz4WEIlT2C+9uitHZG/JqwA+AsJqLtKCFvPNRp8qYy
TA/1yN4P0efff9xfNJesRBd5v03Ry/d0cS3LGhEgkEkicFNbvZjrbkMzX1qs4gFh6cxvmwOpGeMx
k3Ga/fRh1LA5GOYCRm+mvSHzsX5pfcjLMT36a55h+DyCq67gGNNtDo3U3viu8QXJbETZWyNir2Qs
ilMy5poLBQNjmhmYqSN3bVfzvKuL0N06gXuHhjM7YVR1i/iH+kCn00gTc8f5MR0D226OESiz1dDe
qBQuSOOP2NdgukwDkXSPKEQeRGRwopmg5skwY6gRZ9QLe+4+mUkAoe7OW9zRVypGV1GTFlAR8TCh
xZ2UfVbll2NLJ4YxDhOqlL6ghVA/WS0LQZVC5Ge9CTAplWW9EN8Q6J6Tvl4c8Sm1yadifwA1S+Oz
lqmkjHsThkjwgPnWFtM9bxTwWI5+gUEsgc2rOg9LuV0bAAVXTSAOUExIiyXQEQA+79l79R5hzQIT
dqI04Bti3o0zPi7QifZwDYOTqjHqy9jsbXFRN0gl69gt3wcl5/pU5BKTgVNIDSa8G2YY6ibWG5b/
CPpxO1mc39ROZNLMINUScCXaxGYgQ4twTMA5NfVumZm0s0kQ6rZ9VgmNqo8UA8i5hIh8zKmPTAH7
WznGX8PUvXRoyywnirEro1baJuExi5CiVjn88MQZun1a4kQAEBN1avQUuthj8SRVKAnxcZv19mtB
nfiS67NxafL4rgknIGdiZ7oMy438MBqc83SL1xIFk8Ve9bJEw+D/N9voN3oKBrZxThGWzRtTcC4H
8jOF1XxKrJESXRNpjzkhM5zSx5DRQpWlELgOh5QnvXEHzibVz2hDIp1ZO2rxHF1KwPMZdIzdgCXL
yiaupmnTEsreOTO7veH6RAtWCUE7XhvVsG7k3ph1+CuUUdWuTdjiK91yn9UeC7gZ/MiSfFFbUerN
1GY0ZDoywjcCftzXvKGc1YKLAzfNwdnitLcJ9PrPUMOKMR4qxFKY/DDxtaw8b74P59k7GQ6w9SJx
8ZWmKzg6zVGxqTuNvGdoU5ih4NTU7j2WZD4LtSv1Ybt28DbxlOy8GWc7RwziYn9RgU6sQZdqayJS
kiR5stHtQErBwUj355wU0f33urXM4zJ9qY9sNDZm59o0lwRrCX+bw5vrMFWnk3VUn8+NuncV4S00
NNIcR6Zf7CrDWmuTYjUyAbX2S2Hu0Vyg+qSckU4xyvdgOPZl/eDjLb3DbBRTngapFkR7KiK2dpu0
NtZdsqCuCU0/VjV4MgbmTmPUnBLH46kZ6VecbXGjD0fjEizmDlLVfAZMy6Mh6YbGfiikztBtmLSd
vXmnsjD0VNZKx/VIZa5ML2Cth/JfFY/CEg9BBjr7qCdDjM+UgsJtONY9kX5hQ6Ajt1BruAhqLENq
Qur/roaGxBK0o98bdQdlXpKnbUQexUqv2mWnIv2EgIlQsdpVhv9EDghCgXS8hPKP/Qk9xwJPtrby
X9Qx0GfsEHlMKROezc6pALW2XZIzpxjvtbxpD24zcXd9WAaVc2eWcFgNivOq8meD8cNzE+gmCT7s
Sa5MI8ZfYzvE4ucsY/Sbmk5kgUhC+HdCIktuM1F3Atp90RfvnZ90d7ZTfFPlOl2+vz1HXyganaYB
eChrOKqPPspdAjPh4iASZ2/oIaMLwfT97Rqtxji3/V37OgR3IgEJKMMSXL/eT2l3UG+tigzVigln
Nh6NRGPlmvizj5pxEI6LDaxMqOwq/mDZ8I/M2nnt8c763r77qXv3Y/iEjvU64jDoNzH1AE2DFukv
nBGrsAGrMzYKhljHldre47sQM6NBxNOV7l99CFseOWYWXCIGklGYqOfEIJYPtyyl4plFzDhu2cpK
ytWlrXOe8zKLueUL2KSXPr5x4/Z5MEG4eu1tTQJ7kTt3o9kpFlPVRZVg8FoITotgf/QNIp42ZhWU
T2qhFdFDit/KWiZy0lRhxaLnwXAKofulLMysLs5CzVY9FU+DYppPwOJrg5ddlsDwtJfLKdsb08S8
qkyXCovUzw+3ZVpXWyP1juaIKoZRPz2FWqbKOdPkcHQu08YwypvJGB9wi3/yY/GkEhuroL7CROdf
1VaVy0yUTaDuJGvclvWVZkNK66P4xjOjg1flx95iDrfLtL1JRrFpAHVWlHnlESXvhj1qH8JYACuU
zYj/+qezQe1ypyrDfgZ0KvaM9ffaKvTtFUNnR/U4YoagJW6B4HsPVY+DW+TjpnTg6L0Rtf0SpPLK
eHJ/kOOJDIBfNdYNf7ayNgs9xqPo+KhM0cziB69bqfq3encyMXwc9Pmz1sPaCfrkPPJ5yIzYIRW0
uxmy4xuXdS1csQzGdizqsSDZhYd0lzf9B0VEkYhpnLwBJR9tGeAi2nYY7EfbQQL3/U2RT51wdJ2N
br9r62jcwOrod29chit7qD/F8FyHSaxnu/R4mTi4iiL9SCxNtlBIbQwoDHl6YyZ4Buhj9KEEH57L
koOKOsKcQAWzJTxSeqSOPk6cI8nlEMK/Gx1jBVIYoyFCNPXVy2QcLVM8a8ItDnb0RdPqdDc76cdc
x4Im4/0wnoLU2+J8VZvjSyALHRp2Y+smDOg9Vfduz0yrwb0Ib0KX5Lzzyng7MxsMYwbQO6eTkYRn
Joeq2xD4boKJC9C1uzhuCiAM0wqg8wFvNm6aNjqrBaDnyQjmp97Q2XExcN8knsZ3UCFQK1ZVUJOa
JFjBP6T3cmzRmfTH19nr3J3hzPBxrScRvhSOFn7vWAwlLIqyQBSqFeFhbAQVXi6MEuFzJ8mFVmm9
wFu4+56/YdeWtRxMo+wpG9q0Liabar/qPRkdALbIhKsdz/f1SHWL/PUxSbkratftpR8Xh6/NSvVo
u3J8z3La1gKZh4/JVyKOC1K7XUHvYCQ22vMXxHhGgiupPOGTgHiJWO17n9YVlrP3LuZEPVztDVUc
PjpR+5IV9p8qe/y+RKvhFeLoJ1nkoOT7VQsP6ixREaBqn/rRyQ9xuc0mam5a4DEk6X0vP6tVhV9I
WF0wSkWIJRtCMvGTQh/qsKQOKt/W5Z43lucqgOXOYNOx7ynsqN+WuJeEGYo1wLOOCk83xtj0sCBV
J1FddgvVOGkwVxtLmiBtbd+q6+u98NWZbaob7FSy3dkKv3ijOPNrF99Acud7qCYYn2Wa7Wr5isgP
lyHHVy2U3QHHTT4s6UdDa94n8rXBm5ytRj5adVSoHbKSgjj1sqmrBEDw1ZycS9m14vn/cXcey3Ur
Wbp+IlTAmym2d7QiKWqCkCO8S3g8fX+ZPH2rjjpuVfS0B6U4KtHsnRuZudb6HR6Vf69XxoConsDP
3v79dv8fjApOHQ8+h4l0BdWla/4xU4oqL9VJFrNgn3l0G/JKMjuH4YrbkB8SH2dSH8NPlMjBO6SX
jbu8XE3ZK5m9/WSicNglXvRF7ZhmHS+BExFAr0aTjFm9EuK+I08JCT33wXSPofpLVDKVkTALOOd/
4rr/Dw0pxD95sqMgAhWwbcWF/5eTlPDFanCdknA4CQXnBSV6YrjYZeLl40wprEubyAk13u4qAtJm
ir3esB/ySAB/SNxFW8yXjoJr++9X25Kr+fez1XZ1JJo8Hj7uI38KRryirsYkn9xtHNUv5Dt9IWeF
M8VXSHOzZ3Yy3/Ug6NnIAET1m1kGoJFL3gGfzApnelPVJI3yMJ5KcNlD8SH7J3VBqIGJQgMbr3uc
cFvYoQwGxJLIrRqlQ8ijFMxlZIFv/CctB8v757tjXscwhGm2HAAhGeDf/2Xd4yJehpiJOTh94d6i
TACV4U3ZrBGQvrF8QCOEnga0owdouW2i11Lv0e1gAJMaHYuqfJ7mF1eqU/sguGBg2D8JvIuR5w+n
AS4hru78EU/4ui7Tluas29dZ8o0YSnI2260Brfja2ntdb65zQX6dfu7jwbvzXK0KWzf4qRXjfkgi
9wlzkb4z5kPg5svOvi1gO3uWKttUC7uMEIxjGne1FOg8jdy2vGaMaeFnOMQoawRRavF66hgRrMaI
lNHCFiCbAEjAF77Uzg1cGxRy5p6bI+yLFsP4oue3wOhZd02sx96b7pGXM2nW++BKTtwuSqLoWg+8
gEDGr+mt9stwxkfbrTAeadOL0NmJmCJ5+NxuhYncgty+7LRoOTYDbUyKYj3zqpxlQ0eub9thD961
tYmWz7Uts8wzbTfuoNpZyORKUsLG6bX0l4PMaEqDJ/wpz2lWbBYv4h5a7/Muv8HyDbHVhcaCAyy6
1uqXFRNhaQ8fOMPjb4KjV8CoOcFSJDTjCdeXD+J2vmSxf58M+AbwaFojAhHjGiPo3kpN+lAnp6zn
CUzxqENBgsrlsdI8DTbAHCZzHAL5hIgUr/gC3XcpZkN4IhN7IUxmN21INCiJBQsM3J99idcJAVRd
V3zzW1cPG+4cRMxfAbHxB63eICAEyXZ5sYindRmYhXpaPnfkGmaGQXf8NvfkFKUkcRuxuWsa55AQ
viMu5scgNbIzTJeueUjmmQggg4145KWGunHLp21LWY93b5uNNwsl7bBu9kYJKJjb4W3JCOf7OjFa
xjPBuos0TISIOfbmvVzHIn4diaGaXEi+1PurX4aTMX54GMOvxhVlx8ZcvY0LP5kJzdHOI7hpaXpa
bcKWbIPVHH/wG0Ud8PhWLzlZ9hetDnZEuG0p2n1shEHG/cW6W3qWcRj3IGVhkGtHlpjIcfhJkd+B
EaUnw13u1h5cCofJXUC2Rdh6wS3GgMJIhwsAEHi0e+msaZvzw+vW/oFOe6sN3vdiING3/jViK1bY
+Wmpx3DMg4dVb2hATaBKZ3qebcHQDH88zxhPjZlsOze6eaLc98l875r9sQgcQmZjsP/iwst6X/Lh
yeHdFlGxqfOHIls2Veu8Lk7yVetshlH+sZ58N1xNk9z48VLNgjq0QaFYdg0MenuXGTiHdvZxJot6
Nfu7Fmxj9tdzUn4S18GszYNew7d2qiOmkl+LqGWKFU1nsNWdmTCtdXJqy3ZMjnVkbAaBqNxsn5Z6
D5kGl7F53xXBY2zqp9J/0DS8iqZo03RfYVttbKd+ylEgzGb+rhMflTXxpWKIhmu76wU0col0c3pA
B3gfadW7Q5BDLAhkn0GebJKeZ7c+RFUF+xUcE4+nXhuhZjymUXRH8lzY+Mahbfd1ql8T37pPi/xx
rZO32Y0egmrYpaSDke8SSjDc9i8cJFsueQpj4kLSFmJjckoCLhN8Zndx/7CYRy1/DET6LW+MH0GK
WNjW+6epCTD1u2rkQeumuzXr59rYF1a2M8Y3K/ltJC+XCpu2dOhQqkFeQPKoP6e++4iq4N4cv/PS
5yg+YmW0T14G+yWqlrDwPmp72laMG4uY/NNmQ2YEgL1H2WDtmiv4w3ZFWe3f+rTbBOazbhHQdxct
T6b4qTcPupih9NzFGlu+x3FrnPdNAufIMcNoKR5zL9tktTw/4w2eh23AeI5SJRrqHf6MW7MXzwPz
N2Io7tvZI9AjgFB46PvqEgUXU5xJ7QkjHDtmWGZLkzIYyDHEx4+qb+7n7izY0IShAK2LEDcneD0/
+th58tb+Ii36twligiG6IPcltcfaTb13TBrocvbjav2cteE4j+LJkZbtnrlZeHHImC+aXZxjCa7B
cdMMlANafajijzZYmERf1zbYGqMRlqLfBqnY+967jbmJL/2eTHKmcUhnur8b/LvOSqGAEzRJm7yi
P8PfkaseuTZBJnr0gEkzM6hja+BLbuZX4gl1g0rfbx4GuzxZhr7vSCxv1x9jY17nSpwsBp6IjKg4
WAORn2fiBh1rVyd45U5egVUcswNm29zi9iHDkXpPK3cSdXFowXs1Y91mxHkPSU/30HnENjNzc7ST
V+lPpvOWgZxpcFGn8aSn8TaKPuqWmGFOEuIPV9K7PP/XTEI4Iacm3Z+Ne2sOj8lKw74HlXTcn4Pl
njq/vtA8h7p4NVCuArxg2nZv4FQ8wVkkhTdZ3voUD+McGryGXlQ/efOHw/ArMdedszJhMfy3NKAY
daKdqDtMmjRM4mvSuksdkgSDlbp7sgGvNaCLmREbrM3dYlQvsb48C/zuwkADaHOwaxrX86TNO7h4
7DFGhsXG1sVRa7MEHmGzhDouUvmwt/L2YIgUVSAxkX53IPRuMMb3fo3M0PTwvqia6RLpxb1umT9d
xvW6hY3mYnM5F9s14HohGakMLlHNPrK87DzYD02S/5y7PIc3gcTYwAMdB4UkDGaD3CLGt/UvW09G
jGiqrW3yfgbvbQpqbBiGM4HKuEHmz2vKOLqH1moY2YP5WpJV6GpPaz9viU+5G6PQ3japeLaN+EHo
6MumwP5VGxntfLRQxvMwr11+HXUPqXP2NEy3wbA2ifUyur+asbqYZBwV1KimhzG3JofC1DUuBMTm
3FVvQxXzJDC3xTHPKPcdg7Ylr79bo7GPFvdd+O42w66Tx1U7mnn+GI/345pdfIA+E+tQ4OqHxLZB
PvFigo5BZsSDwbf6755Hwh7nWaAPm+QCM+2WWvkB00WUP+1DrMPyBgJp1/ol9/trTT4cZZDzo+39
H200nN2VlBa3G89jvACwJP7FLKh0qJpWhrTObhGx8QQADyhQ6O8rDHqolZRtYzUMj5l9NLiDpiAn
CdtIl40wdc6WzPjRFzOgdRyTnlqhgUoTC/LdthSu/h2GHUSnIcIEtYjOscd/ZcvoIXGsxHVCssPZ
MSF/d+mqk6RcTnllkGWFwfnR1CLtWfjzivh2mM9NK+IvrlsOB4uIpK36V7fQpnufXNwRU+Buo/Um
A+mi4i7iWyMniLZrNUNGlX9N6lq/NBZ5rZ9fnC2/3bQetyPUmT3e//kXaZEcMtskTqIlUCqmrdxR
GdfXLkLam7sXwker16UKijObl5HiVJav+jT0R180M3FdRXNCuK9t5tFx96LpnZ36EmF0ww7JRnVQ
P2BmlssBsXrHaV7LVy/jQEMtapzVv1oSr68n2mv1r0EGA1orN/StppvDO4vegtrcYe0HmG+TVFyg
yWZGOR0zi4oiekcF86PTefUVztuz/trU6cnqngu3fMpS0mIMQ8PWDQrc4C1HcKMpZpyzkGBI5tTO
mIqf2dUw2sckg3qduRi7j0XBlTXup45wFFz4Kl9s7dF69r3VCtEiAAWDan3NYG+BbKVvU/eL0fFZ
n6vnxJcxmAMn6TxJRurHkk3eFiLAFIL3H2xt/e1z08r/GaIlnhhsgtiiPTYciBsIJQyXXWoshLA1
2LULwYstjslkTvtCmDunKrGiGMrQX4z7zl22xTTvCZ4Ajkvil8Dq9oPZ7SrhH1MvwhzKxIIwW89j
fR8N83TQoBBUGp7sWRwfemI7FrP8luiEwa7uXrK8ErKeSXIj7By91KpT6iEXJ2MBc2F85KfaeAyQ
GJLicSN/JciS84gRPgBx/O4luOrGAu683aVksPQjBLL1bsmzd86cczBVj1bpNjS4QSIJsNCgOKMq
QIVV7Hv4RKnNaVvXyQP6ZlMnE52sK6bgjXsDxYT6BtQ9THjmQI3P0Ci+ucLn5geTgpE2/0S4b20s
vFlnfCLc+uJp7UMd9DwW9Xro8RizO5iEwoR12njiUJDT3QIxbynhe8IHe6SVeLP5vyvKg6DN6DlP
XVI8ZaV/0+0SCyrnNUe10E5QZFFNTqZ7FY61XSZnYzhJ6On9s92Sw/Cr4YfGjf0bdDmcI7IcU+9I
w/tSVeXezJxojwvDYY4ZSEwFFjxaesSbatNjyobtTDnzStZXh1xrobe/TYGdgPAy1NHUdpMg0HPh
vrVsNnTswLvNEiArLjR7yO+mFPaBE5E7VlvN15qLcAen9UFbtvBFd5GPTNwldLp0qWyiEdvFWdCY
dE/rEl8tkoTDuU1ePKdmwN+d7WyIN1WGl3jzahWafSbPC21hfZcOZh6mya7MzeCmuZwRLXy8G1Sf
h6F9tNw1I8nCwUAUFcWVJkPheq7prswBim3bmO6FsKh0s0on+95A94Ul0F4jG/HkmfBaTGz7jqAr
Jp3kVpqQ1hjVLicyEnqOoungm0mLsnW5KR7oKmEKzV3forQsL4WvjWEUW/ZOJV2TC0U8TEb/MZLI
42Fucge1FLuctYveW/h65EqSB6ETQeRQUeEKL6e8peW0N6we8btUrpfIFqZNqTXa2YJ7tU3oXUMs
eJ9XSOGH2GjaY1uKyyIz39vRuxggKPRswN+Mm6wDOjjrYg4+9/bQZnuGa+MxMRY8UFf4O6NvO+FU
e2+lU2cPwcjQN9b7B2w1fueJcRkse4YbLW2U09S6aiXXIulFj5NBHTSM1nhUBOCxIF9KVPFFrelg
7okTwbaBPJIBaw5m+usCzZjYJJ0pc9j0q7njHHsk5m1uiG/7JH+rOabfDUdt9NcNbQPB2Zb2nZS8
R/LCfhnoBkAmYRCusf57jatnahNnq5aygeS8W5i01KAAEh7GpQ1jMH96UbIONQhVBAYv2BIzA4+D
IKmj7YGayq/2c/euKIhsilwaRItZwud31GyG1p2tnTS+gBRVlNssD96n0aZMWbvTKDlsI1ZFu58Y
t6EMIA1lu9bl+Ims6SlzhDhZ4JyPa3ROi5JtmI+XMbCOhQU/k8w2RAttsKs7fpMPy11pIzoBaRRS
QH+FLRhIeM7G/lGk7Wvpaac40Lpdq4kJMNt/UYw0NaAuk06avfoZefRM/jHtg5hd5oeggnvnJOaR
sxr4Xb5fr49+m1VeXWbD/iQJK3ze1ebfXjbRF3YFUYf8OPXLFUlD0RX+OShU77wuCUFKIDwobEv9
ZJPkFZDIcadeV2ZW2hc9nm8OtpOmRO4KPwB2ob1SCwyDq2SUjoAFuOiQmqi5NUrTvwgX6kuQDdOH
+LBFfUmXxlOMiicX5NA088aTlP8UAgx0sa1N0geWLeQhYeT71kc6kqKyexzljF8h/bWlH0mVFvt0
OjlDnBLt+VNGPW8NMIdPlQXBLvIIyw3npCabElNtDJh7CLLDHDfmHYT2R82eqJ8lrBCb8btZdgdF
wPBQfAGQ6gzr0o0IKjbhnJ89qLdbcPsmzDz9ISp9RSnVxFJswTlnjikty0+5LGo9CpSp+6oYCd1g
vK7desmwKPjkKOQSoEmRK4Wm270puci6Prlutt4kRKveoprVmqIhmsXVD+p8UkhAPLfPTCJcxYGZ
SjiWGae/WrHYCjDPl1YZkgirGCBq2h6jIbDGpWCQA9NVMQgUWrMEgoyzjiYG1z0lV1IUEkxvaYhb
xoMeZJiNZtCmNQE2dZPzqmmM6BUjVy234uZH3nqMcVh2NdsNS7TKcAuxWZeAtDZwBs6QTbeuk4BJ
FeYSdqNG7zeU13kwCRaR8LICOxQG9qlv0dYPN0orBl7alzHoPlUFlcg02kXG3hXlHRTArMHzXmsD
9m1rExErd60Olh/HIPsR9KeRY4RGzA3npPBCT5JXlDM29RcoC0Fx+9KaNopeomSfkeTMVFVyGnXu
zwZzqI36qb1jvTip4ASU03Um0eNGcmMUQ5SeGAuqerlnnI8HM8iRQrRnmqXWoYVNGkCSobFDg/H0
Rj0PSUNUNlPXJBmJaY61wyey55rNJonb7fjWpaR6tRJLVPAXiZgcBOVh0lB8lAdB0vkxFaXJA8Nz
K+gxPs0b5gFGjUi/qMPBDWRZNzCnFthJBnp1XBLxq+vpiW0y7EBv7pVORowg+xJga+bysq51vy/a
+JJMJJ0VKGM25CAd1cdTMKPjJILX+3kJW2YXcpkFn9vfaajZZ6/bWzHj0wDmCp4iGngKrmFO1zyK
hrMIxy3zacWzNiw4pj+ZNgrTyme0iclRgUHB3P0aVrI4JQqHyfcXfXC++ClOLl1JKSz5abk3LjLZ
CNHMgtpVCkCiqe4gcvEzAUpA3aHlSu4NHhwDbXU+7m0OFEnU/Tw0pSJO4yb2+1rssgInh8mQztP4
gWbkvXHHc8jbQrRh0Xkdnj0SYW6591ciR+RPj1KkmM6Yk0tKWuJuGZkgm9n4K67t9yl2tU2RBzcF
pmTZ8iTsqWQZ6h+GtRLc3Lxj67wjOfdrnSDHTYn/Fg5WlkSbPFtjmRx1uyV2I262mt40pxbi2icR
vy0TGt5ur/a32mCkVWB6ScmpniE9pqWX5Qz5mMNeUPsNsXnzKgu0wbS/DTHZg+lQAg40UwMLSuq0
ekQ3G5QAoTolFTVeHRPqMc9Mai6M3ULdN+4U8yyBb7EdvEbf9IW3ct2St5y2N2xliam2MGtXl5I7
39suQUVSbDjiexd2MlrE8hxCNNoGu0op182r0oaZ5iIP4xGGPL0eW5EAkdvJHsAg3y5je1USCclD
OIAivjeykM991J1SjDSPxsfkveCMzYhBOD9trSepZBq+CT/dV65r7m12dGjD8mSqDKyY+DlB2Ase
Wni41lsncWEBWvEe0Spjx7pg5JbPzsE3MHFXb0Rtf7UJdQ3xXW7eK3qVthwAs49BXNefQhEsNNYQ
jw2CxOt1i7uRlF3ziBO/021mKZWLrO/lsB5En6dbtW8tI823cbknWRZ15hgwdme7sZ4/FECnQGB1
XKgjT30uJmqJnSXas/r8yzz+pRmm81n8Ku6V5cKzNd8rd9JOqmrse4huJqoqmFnenXojCpaVl6Hr
mKcGqgkMjPS36zqwohKiy9boZZAsypbR9zzE9Y0kplAR/7IoQapTMcJDKKSOf3Uh6bl7JNXirDZJ
YjrwJNAjsdoovn0jCgMSCRHrAWIrjD530blpjyAqT2mdvg2aHu1tKJ2qRMhzh9sr0Q5aCtQssf/P
Q8qCNjIteiudSKl56oYHvqSoieFHh2qV1MOpWExF1cUh2Q39eSAoQVbnirU7VfHX1Bk+1DWjTp2s
Dx51mBuftw8ErR4EK8f7n2vqk0bnGz8z4uaxEQirNXD32UqfK/k1qZV+rThF1a2mPkFFZXCL5EcV
M3JUd68+Oxzy7h1V+tM/L+NeRgB36XjIBNNWzAyPSgRjSSqZm39D67fxKgTr6xAwipeaZ0mpdFKb
qFmzosuH3thVa7a3a/smz0ivixGqixkeVsb3yjtBg9cQVnF2zhk/4NLzPiJeO5Ts49ZYqqNaq6wZ
F5ia0Ult9JEZGucmJF/Ub/hPJjaweJWje5BkD8VuFDN9+xwP0V+C33oc8NIcXhTRRHEQi5rpmyuc
eyNxANSlPF1ZC+kZOrx4SfdGM3lHhP5b39IuBOs94f37RR1tjuSjKpWeul0Kp2fQe59L5bOivvmY
zIVwgX95WUaculfCtEPPmpRGiFsrqZ+xs1e3MxHPTIr1eZOiju49zhq7NAPElpSO0No76n/tpHYY
XE5yj38ODfSlOEpfLS07GWPGdA33bkw2yaBST4biyCnpXIIF6UFtXtLKjKvuTQ9Zl+yUWljybtaR
aiftsqcuT17sejuvOSMaySC15gylexkdNMQNm3SJ7lvJEv9/5YIPA2KFmD53wS4dixfeaXR28Npz
nPlLtxJc20qWlRt1bwtdtznw3iVjvTQ1+KvxwTZbgmcFNGet/mn1Vv/oTZFUenFKxj68+sqP7zAg
2GGsWcAoT3segl+KaqEkLmpBvDG6MqxhzpR/XadhOpojtIBGthqwea+pnfH4Sfqu0r6pB03ZJSgG
SmCioSu9eCXmtoje4xWVhlgPGG2AbYnht+J5DonUoUYw2y29Sg6tpT+4HtPTzEmACgh7WnLv1kY8
q7VuHrqmvuY42e9wkd92kiEl37LVNyhYxv5TXNf3VLpx633Bhc0l9q/fqPW2g+F17Fx8y7m45SZR
tEVVrVbxF3utOcMMQUK0/U09Gao0UIugCu1edm1qp2GC+eRHRCeoHyLvNqZ6TKb/YiaZTvLhNvVX
dVlEpKqVS5EDbLTGkRsq2qlDTchJ5+rLm0CnbRHzVg/cc+v1z7qRHDLDdxSDSVQ6/BIxfGg1Zeji
SApoNBymCQ/rMsq6PUAAWxjSsOTMfJ5gUunsD/a+HgqCJ3Xz2g5LtVdszVEAi5tysUoW67Own2af
yQHJxCleuKoPCHLb2UxtNYZqB6ozPPPKdNf2n2Vflw43QmY65AtIG/E1udLgXd2svIuk/khRTWwz
e40cICnXlTr1QccwykAZOBnuIxSqr3XeX5kDfHLWgBu/tpFziLClxnC33qrToR/ED/XJmeX0VMzG
0TIInVM7S1FCpSwpWHGdq3vrt6qr1LGj6oisd4OtW/V3+Lwv4QJALllUipu7Lh22FDLhQgozlbjE
QVUL16j6JJMpFnZPyGnQ6e1F9bXqgVcXWFXHD37c7CJHf00DApDXV/XUTyutDbHq5mYu7M8DYZLx
MH21e2lnzQyFfH7yhnaXCewht8pDNBJFMmXQadJOf5si/0PdGki1tLDEfxUT8nKnOndFVMeq6yEK
qm9rhRAg7fvgARgkhkaoiNx6GYdRs95St3/ikW/CQvsQUlOt0zyqz3HJXfQTmMCMy4VKRduoJj8a
PSpqyGVq7XBXH+rh0ZN05GHQ8IepGGEZeDiPdKfyaGoMEZ3NHFJBQlJzvHCWoNU8DlbyWMluyyw6
PcyK/KLe6qT5XyyS6d0EC0G9AT1Tv6vOCv08OK6+EVJ7OXf8GPVJj73+ITTCAnAI+jz61f/dBniQ
15mM0MaVg9emaVq21Ub7q5ZdtElvz6rBcuYCETHZnqtu7iMSgam8oEsoPbDNwSmPCvVhyf/IZC/w
mcpUbtIJzEvY8XM5r+vncaGbqCfAOj7lr+q2Gwg3Zw6RfzCQvMHmqU66a5zVwqlSchlwgoj0BvDD
tDcSrVLvNtY0ZuKIHKD2c/ZGs1VtoJ5c9dI2rrmZSdsw1j/mynbgTPicl1E9L3ttfB5pn5jiVtmu
d0Ztb4/Nl3hs2kvkG0/+qg9/iXPpKOlbhi6sUwXEUGqqc1w99Or1ZQ42/pagQfFzm1lU0n2NyG0P
FobhlT3Q4di/4zV/b4vIeEqnQzwH42cX5bj147xmZ3LMoZZLhx2cK1Hp+wgCc2F3XKwFWesUDi7E
KWD5yNq0A1nK3lr2ewKT1qR/X/sCVoO7NqDc/VZPIHfOMcCG3zwpPT+twnRxCoar6sNyNegyRtfQ
qfPIKdbpkNGTjhjJ57Z3U/ctij7afiXKQFY92cVGEJXe2ulL0pkfie5c1DGuemZvSSHNp1AL1PFR
Y/W28xKc8zNO79znXeCBFIMmag/CYc6j5c2jY/OBFJUOHtBwT7o2dS43x9yCsXPz2iSQeiPGjNwx
1q6vkLp6zWtSGc6uNNJDMvKT44GRTwmuqeoxzx/PfsBo34HDMVOXHzWrRKAxdk9Z7z0zpmJp6IGK
aIjue0n5avPmGFgjamEAKrJfu1PGaGzlLu6qqNxaRK+A0qNlrazV3Q452fPWJJg1J8PBwOFq72GW
tHVxM3LgFYRDMRR7UXIIT0Cmlj82aEUY8pGUUO5Mr3somjbaAxx/12bb23cmk/7KO1Y+dVg5ZT+i
iBhsRM3vniNI1zLL8wgHZmix2Mm1vNoP4oIg7ULLxXHnZ9EWpJTsS8jXWpIfkjwDnsXnVmRtmMR9
fMgstpfmEvFo2MOwbZfNmg0ThABCbSMkPUs7tJcWqphb5WdTMAMuhhHMGhHUoOUxw10o15YfX/wl
wzED64snP3a9U7aK39NEvLVw8AGZuvSSxH6YLx1OQAPBrZ6/W9MZEMuqtZPJk7iJKpRsPRYZpgys
YSCVrnlzHWvpBZU3D10ZNJvBbPxdFu+GSe9vkVWTARA58D6cRzQmJY0/06W5wm+6p8HYGuTUk016
5ydzcjROrSBha1m1s1vzVI+J9cx+iLuPPq1+JoJdMhqzfbEm+6Gf269rpOu7ccIKQf3RMIEh1J1T
2NRqUoCmByZMDKwH62Nd4BjmzUq66NyeIk/fl50Bzw6mqjuQnYpUsyTLHB00K1OhrZ1wv4jN4TRD
aC2TJuO+dR5c28etsPHQ1OLmuoKP9+P01nbltXIYDpkeLP7O1L42XozrldPMO4EuMfH84ZsftN+D
mDQ64VXQmwpqvRWGtEnSW9hmJIR1ASnfC7AUqBsjBwveyVQnL8GCVZQPM4QRM8H1VbaGlpVA8I0W
Kkv8YzzNJfOqQU8v+zngp++xFz8CicMGXNDDVF35jHTtF6rTbRFgIiBygT1oku4CWMkoeKYi9Lvi
tZ2HkX4hm8mHuCQlsTrOEAA3O8Td9ofs1s8YzmT02QQA2fkxEfL72tSSGMkhy8Z+zzeX0F5lMHmA
Nm+eineaDeewDuJVY85K5NNNiPqrDaSzh6e3h3bHoCt4tuJfHmSKa5NZ0Af9+eJNXfA6mN+D1vrl
zIG1T+L0R6rP5i1FYGeuUXL3CtN4vUSIIzukQ9haMdqyvHrb+/Te8OMhGdC45MDtsI1I7aF/Wz0z
OFRe8jyAAmBMg+7AG1l9g5gU2GUBJiTL62AIb9fDd6wwOTrZTYblCvL0SRhjuLTGeDOwWJjQJOWZ
EfpZAhE/sKur19hfZ2Y4l2qUc6EOiATDvmVDJtDPoNDSk03Y09mzpvthnbx9ShUFIYSWY6q/lzKG
yGwZ4+k5wHJSfxBnUiBpkKlHRFrNLSGYY7rksDcRWGrybKPbxAfDJ8PDhKslu4K6rGAzxj7ix1y/
1ri3Qud0dkwxzF3nDK/R3DqHjjTLA44AO1yRoqvPjMhOvPY0ec0Lo7iDZUO9xSN63hBA5CIwTuLD
4E8dgXXDVuus5ex6ZQ8nDOReZ9pxFn6FhIankMMNjkV+6VK9CBF1mfsykKFrDgvRBDG5HlqJNlR2
Rl5rfwoD/jJ5fPhkd/9hKfnHX/8vOkz6kLv//w6Te/G9+vn7Xy0m5dd/WkwG/yDsmuhI8LggcHV8
I//bYlJz/oEaQWrpcZr0cBSUrhD/7TFp/IMcet3BsMZwsBKVLqJ/eUzaxj/wH/Rc38ZgFPtx1/3f
eEz+oR5wSNslAg35r4yh4G/+H84TOdN9ETUVs+xyWo6jNbu7qIcsKEYzuU5pn1wLR1h0Zt74LMHR
qfqGNljG2PXoCLx1Xe7Y0NO1XnHU/ZdF/OtR+pvc8e/SNV4N9HpJsje5zVHJBH/4X+ql1vRdLd3z
5QgtHnANdqL+gbhm/bHGboDSkZFxNlnZoYJNfA3aUTtWAgpAwMB8O+pEM/aDk0PKBgX99y/ujyQ9
9eIII7LJfJJx5pjG/J3+j7tZWmPRM2BBxWCS9D8H9f4o7qKKRnh5n3o9uaNaKGmg5gVsULOfc82B
0PkyNoTVDOJ7U6Ag1fwSqblzjhzXeqkjyIPMaNoTM35rG5GncJobYXDMQTNXAY4Iu7pDYccbT5vc
szUnAv6KdhrXyt8xEMOV2WiCq2VMyb36IwjiYJ9azEc1Puv/sAjKw/yfCg+5CAHmC7puUtBaHskg
f18Eqx7QCsSWCD9/tR7rJ6woZhkUmXi1dyemFHM3+4sp0x/8zMAsqfVP+lSsJ/Vuyk5Pb700zc4Z
y+6dxHj69x+TUr/87RXiMsI2IbeEzRR4f3rHp4PrZYngUF5Uap0a5MWMg2GjrLfaFPa+wXCt1Slk
EdvXd2VB1MroQEQqnJzgLgQNYSvzQCjVyu3aWf12noflUuWL85yk5Y9AuPeFtFAV8AwFVpE3Ryse
UEnAn7OSQzyVC448KMxzXEHup4govcApMF4r9E1iVjFR92uOipvwKN2ozmvjcT0OvXlCzyeuBpWe
su1uk/WlS6rxHg7mztfxAIosc+VAJ8w0yIPkSO8oQqT/284iktMa1vU/RK87fxcf82G7rCErSWll
BpxWnEn/KnixZ7suIcHVIYj1L5VR1OEwQxgoTeMK0WtB4B1VRvUgRILUKa/je7I7P/Q24qp1u2OR
47gUlkFWMYUJnsgzE7fSDb7xvcTGL4u45V7yg7Dp7mbgO7Fbx1bgogL+UPu2dqvrePvPj2OyWKIg
K6odeajJM4zaZu+K4Wrb2n0RTdjYpc5DLHbF6tR3zgx90Y++VKPVvq/egkdit4hwnVGyT43ZE4ne
pvuc5tjSuif67cdxnKt7UZbP6Qpqj2tCc5d01a+gmF/g4Bjwmof4P0iKHIKeWMF/PqyeiTuOqZu6
53pMy/DK+UOehpbbDWaHrEmDzmC7zCBOog/u5tl8bHPLhkW9dmG5OOah9unKzYQ0zfUOvA3mU39N
0XIDc7vWdWmMbz59mhON5a1xfgrPTm9RAqRp154HR3DdZSRO3HDCxsPC0MztCD9exGaCNwJBi25C
Nyo38mpG7xSPO89bh8sKYzBMnPxASU5+NbgxvA4Sgd3WxGAA1CfKADT4Kkoe8V9Enddy3EjabZ8I
ETAJd1ue5cgqet0gSImE95lAAk//L/SciHOjkXq6JYoFZH5m77XtE63bS8IUye8QYMzLADILXofM
pP0z/rTmzLqltoON7rLXTuKTadqjo7Z56SVbd8GQV255Vc3WHadth7sLfVV397EWpQmiT0v4JwGM
Zm1QW4n+jvfh1oSs+ae5PaNGKDYicrZOHnwXWcZHVjznSfxuRLjDWdEazCKD0GpAYlqvfd49+9bz
DDF8TY5atC5wzSSzUmvXhqjpDV/1dO9LuVeYU9Z9bunHMvkdxlS8WaJY+czusRe7pzm0ngKGPA/E
H4RrpMHOw5ji9h1qV166SupdUhCjltV9dauqi20G2d3NH3VgyPkJvKu/KS0XwXY5eFjcK74ITgFr
Yxg0Rp0XREtSmY2FZ6yf4D3sm8D4GksThUI3Peb5ZCMkqP7fD65tdnz//Me6seuDP5Tzhw3P1W9V
stE49Y5ixiATxiK+9wkgPhUmzaM/xRm5wZZ7tuo+PFRt9eS6Fkt54oL3rmqAI7DvWDN579+tZP5N
iiD4N4bZ2ip2bunZ196wksf/fghlJPb/pRay+Vk7FhP5gSxBaIyV8Lb8BqRF/ZfsnCxHbg1bjLge
8SPy96aOkwQaZfOQ6yn+10TFZxaq+k/q9owUilq8kdSBUFRgvYHyv7Gr1DsrUfVXk6ZbV1b50hOz
tIrZ6Z396GgVwn9JzOGTFSqExMGzX0ssCcXsnPxQD0/SkOolHXI0ta14By6wS+MFmEy+5L414v7V
8MO3fhr9PT6fbtu0SfKEbXEVhtK9da6cHwcZwp3W9ZWFE2kiLs2L16HKXzwD9HjBkouFfyjFszYH
TrJTU2M/d3JK1sxb0lcRxV/at+s/UWvfkMtmT47jEq5kDOGRYAtrK2T3+9+vekZP7v/+jyXVoRrF
cTYJB1nVvWMc//eDbVxbpAuYwTQZl8nyjrdpkx4BDd5UnT7ZeVk90ku3OAdNtKhVEr6H0bWAALQ1
GxltY6hqtRvKR9l73rpGir8Wupp2Tm8PPNg6JvVxYF7jw/A//+8HAvyQw6/bDPVd7dMJK3n5/z/0
JCgemEqwTGz5cAaC3kmNHD+i3vQOGV8KI6rEPsJfi865SByURWI4+aiec2CCt8zkL2jHBGjbhYoe
/FC8pdbNSOWPX5KyARH2Vo1T9+iTXnBycwEVLQHLSCP55Q27mubzO22DCBMOFgpY5yrZd46Zn5tG
uOg5+9V/vyLBLmI7OuknRYSskQ39LXCQasJku9T89jfZCvopYs3T3FwiZiaW7e7MiljVNhyu7Be3
nb0UOCQQtu57nSbPzcT2rhJEpTQzAzk7mlgUREtshmkqzBGdlEfYMPJoMd3GplVuKkA06Cvm8d5n
OtjEUph7nIdGETafphx/rK4nIpSwjMShWrEYgu4gvxTHNuDBiwhcv8V9dWx0J+9EJrd7j3xwjSkC
V6TZS4x0cXNnH9hu07CWT8MiquymhG9vBLIsC0GwpDKLdw1YR19k1tECw7+ep/JvzSV8BsdrIzqL
tiYcxQkiMwyEAYVJmn64Lis1dkdrRnCkEPpjnHwUQzj9QaUuqxfGTOZ2ZnC1lcsv85JRQD0H8MGn
9GdgB/hYzrB6Sh0/BIl4NodmOv33g/J9+39po44MZ7RDqj7rrpDrTqF8iv2w3YtwqjYD+CM26YIF
EZT4ECZV9GUGTn2ZDUml56WCU7QSW2+szAOfMlPTTgx325/qY0fExkrM5XBHAV6e47B4R7Ov7kSK
qjsgkgkwLCBOYzDo5kXSEry8jGlzJuVtRh9tUnyeECFr+IBc16GqslNqCJb6xvLT/37938+CCgQz
bOytrlX8VIwkuVp1W7wBbC3OnXjvnHb4IgYF7Sf8vp6PdIw7++wSTIk/Jde7kuIFdYVlH5wF2c/b
AaA0t6p1Z2lj1zjzEjNbkiIB7YDd/zSeuwnfJDnL7v9qz5nhXLBI13iPt4M9I6kBxM9MqHyDjOPf
DD37t5Dh2nLT/fvv72nGzQPjxfLJ5yIBBtOZqBv97jYPebkRQBEtMkLRfzfOa1I3NJF49NjP9o/h
eCTlkkx52EH4LYPqPEySQ38ejkZbsn0zKw7YCT3R2CbVS9S25J2npB0D5op2jM0YMidoskvPaZ9j
wjtwv98Nt0J0sC0521dZ3zGHapOXuavPXGnDPZtnuUey162yLLihv00Ipxmrh6SFG9nODjvIcL52
jdncJAPY3lPqDCiVxI24+SyHHJ/T1rGH16lqgqPQAQL8wC13dY3BQgVOcfVnfAiN0VS7RE7PIe3C
hbexvsfVj2ws7z0Xc7WxIX8+dTbI+bk0+2djoZGhHPlnumO3++9fLzs7PcbeUn3047ey5vTctnb7
nObWEjxJhIBMcfOVhIYxt9rQ3tQ7FdQ3k5J0o8bsJ5ghxSnxmGWzfmylt0o9WmRulWYq+79zZv9z
GFe+OO44bDEPreNWucd+Gq4dy1Qsfk1w8Yu8PncwepBXnIs4wco3+p9gRCSTJjxQsgJRyzTjNDem
tZpr2B1Oh1vMHI6UKOPV7mv2OEN+NsmjJgcIsxRZy0gknbWdPrNoyBLxR2gAbJj/+DNhx68aRry7
IXh0RhWua7yPpa7CZbye4pCnNC06IMRZ/jrJ4dIPZOJYmNvgtM8cFs5Ok/CIOTd/y6zYPfd016jp
UZ5CJHz2MufN4ak/8b0b5mLn6cglhE2eWjGlxwbxIISxoTH30TRdEDHX28Al/kLPw3fI7xPHwzYs
A1grCT60kg2mVgbKIJY3KLbZ818mz2BES0/oozo7e6iFt6lkjzA306MXUDCLGS+NmXkHwRZb+bI6
9G6+wpsT7TRuGSc0EB2qUF9VfE+VFe1sgFgbqyJjo7KNU+MEel/Xj2ZhMp3vmRn75bh2W2TcFj2M
o551PNQ8W79GZjpI0Y6RmZwtx+rXNcUd0TbmJpxbboGcYbE5TX/M3MzuLGwNdNOivjME8I82vru1
XfOlqGS8tTOK2cZpTjJvdtKOgiNTR2o2cx8mCmXrWD3SinAbdrbedKc2NYdtigODdn5T2UO1TnX0
7FVGeIDtvYsZ+OPMVX9c4DJrtyx+1EQ2llenV01h1mlV7WyBrz2sNmnTwdCHJnnQxb85RB4YQ6Ri
H/SSxG59aGtwwHrgDJNaH9KpOKspX/clj6U/8bSznvDYtYwvQPfxdoSf2I+YV6WNvU58ERwiq37P
imRk9WZgH0koY3J0gWP3p3PCkb9DRKJI/0lnzSmJGHVI+3I3F9NPOOWaPdPijrTeAGpg88/S7oQt
9KLM4GaPprGxnag5FFl5iRFGRp316ksnRo7rRvu2zx4zC1teanu/ikOExAsEnmNHtTZZn5VjEx7Z
Zx/phK9S1K7aTQ1A7ADvsoh0sanEfGw9vC30psN5KsanPv87et01DYvyccq/DTML9tR1+rmszD/m
q+K5P4SjhkswE6fJRnwHyJwntp3Pl2iwN1gQAkSOPc7ryntUrq5xzKPtAVFGgviE/L6NtuRqsW9L
Y/eoWZqTk4GXuaCFypGmNG6+G5IWkad07tZEg5Yn8O0KZ6nfK0xttnwYEwuFTtP5kNsr80r83qW3
mhc3HNqd1zpXkHDtkbH7SuHhZZ+re3qjiRwPSLQYp09xLPXZ56g3vXZlC1YZ4zT9IDvc27GrH4QU
EWv4cjHtd7j0QX+3FJOZY5B7OAWvaSmeJnYuu0E55qaqw58liUNNrbsz+zLeVy++jZclkfafuEbq
1rJe2kQZxyls0hnuMb4VKzg2wIHyYfAPQC0XqXoMtIQWs5jZXgNUByAZrxvQg+cQFS49btZtBjcD
mtwdy3JQ+7LJXivons+L+9zLzP7Otm9cT54Mt0H5jdQCL20M58ZLGNtpFghmmKuHpSfKDCCFo+nz
4We8JLmxZihsQAlMciwdPMIhx9HKsSIIBlzeXhzdcdfNJwSI0YrF1gG9Gx4oZdYQ0jCnxBVOWx+b
htvi/ukBMZXhOKNarH5TZguIy936JLWx9vPgXLP+4jZwTshgolvVeDeKKpOd3RcJwDdNn2zXxftc
+7es90A6adb9rt9V+ymgGgmcajNj9bz0BYPYsi+WLHWaqdmd93MbMAyUuOeG9m+N021j01DxTE4Y
uVXNGpw9lK/JcU+B7lw8LHRbyiAHf9omKDHbAUjQh0Tqv61JnrAe2ofcj3uycxe5bXB1s1Ks4qH6
Z1ouFMoawsFMiY0OFsEAG5gtQzsQyJgjKb832mFVyxPSryUmrzmJ8D/W9RlPLUdExZo3gFk4LPOI
iDCVTb6Ii2r894GH1EtX7QWWlEnEMiKRIRcP08hn5nY4dgAEoyvFpS+6uDo60v1kKIBGfP4DciXf
F0ahdjJGooWVd9264UPcRyWr/xk2+1we0Jfk96r2to16J+oJ5RUK8F0wu7cAuP8qpo4DtYBIIbDh
RWg3pVVuLc5Gy12Dq2BNuSTuMLRD3qCtBjwt34OyLxl8407a2mReFjVnaZWgcir8dFsZIyu0QB+s
IS32SdkwVyeRrAumbo1Dhs9gSj8w0CTD0HzLaEmCM+ydN1j4A5I63AEleNa4VR8Mp38IwvFzMDZ5
7P5MadmuWTWCqFl5QYGPAW9V5D37c0ILM8LRtwbrQTgl0WxesIPnZkO5eS/QAqzdGp18jmOcYBkL
Zg1WqzYdcHOG0c7LxN5msHD3m+kWZ4BMgtzKN5gmwQ1XGeqNiLNsJF5IZZdYtJrgCfA1wciI3W25
itBmbeMMpoGsyUaJ4ZluPUM+5EA/0UqjjqS+73mwVY69kYgObKJrb4qSgx25DxZTQM9LmECybkgD
aJzZEK8aNyleR8vfdf3ckbzkNHsi3HLcprVC6rCyzLG5QOa3LavfjSXfdV2GQAH6/sRoyLswFu4G
DtLUhkTr5kyDhbnEZrMI9i39PoVc8E3F9051ycohjJFnMSXCyE9hQaPXWXyWs8jGjekgI+4sKqNc
2dPWpawdLd4KMiF3VtGhtBB1wwU3kNi4PJVeVeptIIY/djmcQET+QVnJnr4y+Aow2xEjJi4Jis9y
YOcQeM9Y0ggvCUzFC4dUBW6T3YO/cpcDjaG5wDg6oslYd6XEI/yOjPjbNHy1SVP5Uk7+s1Qt8hKF
U3Oomi1N0sad+ITd2bcOcQ3n0465GqKL4H4A3KQPgURZKyqWrJOL6ylzzW+b0demJbByC1mFss5k
zB2L/JnM7x3FKQYigCCXXNI7gCZgWVywbm2CfNuNcgaBjstQp9NGcDpw+Mf0WlozOg1m0LYWSRgQ
IVZl1Z6DzH41ksjHbgxbPR/96lLC6JhUZW8sQ9VcQL5xHBLOuEAsa+hpgcck+dqLi0XJCdkncrhT
yzTeBhkRADyn5m7BEEEFeHVCsoiSmPfKna3taPXAbEta3XZYUc96a5///tDDzUnzEVwqHoxjHaHQ
nCmrzz0hj72JvIzIuYFlDn/6DKJ/6+p5W5ooYt2RcSBWHHTJCPhkTUYrB9+I0oLE20PjMMBpGs2a
O+n5E6RHK5tsRDN9tsH4hDdDPcTMdJnEuLd+0o/4C46payqaHbvdUm9OREAWduKvAP9cvEidWBK4
HGl5vw9SrAmuSPXKYzO1s7xZXBnjb2lnXwBHz8zTuEt4lNrW2LNM6zatz5SEfq8/Gk5Nc9FlDcdP
7B2rwqvXMofy17PMPlnNXJ1cP0I8EXMAdmN4iGfRHbDZAynJUOBEPq2YHelttgRH5ibqoSLWMDOy
4ihk+9ny+Vy0ox5yN3mARlPvUyOxLzonrZXY6GOHPym22k+pu+loSSRvjVfy0i/CRMM60kZOb05H
/LHfgHwAqrEnxYnw5SE2nmgv00Pu1gnObgwXg4/6I7YQyZM0HU7DqvNmtWKX9KS9p3yGkqp6+Rt7
Wq2kl1xdDCnKHb8Nt7vSHGzMZkvZe4XeuTDV66/etNS2C5wrhcYKpPEulJdEiY++bb78PCEcaeeN
SHnmfpsl/l898Y8czJyBNz3glnpQEye1V7+o1v1LNXbP6T252PGw/ET9IWEz8AnY99LjCg7i4a13
I7jNsX9uy1ZSKfCXbHX1YhYIAH0QJ94IwFubM7qyyP/MkDcTzEJ/7GY/qszuU2ufrYxA5uraRKiA
p4KxcpixyQSY1DCb9P42o/juSaxb+3FWr6yoZl5b3ae/qCvadVnod6ucvDUlw4vsaVvc6cGeUGLT
xU8b28PkSl228kr+mnlo/UuEZp5ovTAC47njHB/KFgF5VK2RbZXbxOOLzKYE6yKXkGw9YuiVtR78
huABLCG5+SprzXzfXF6M9FE8DXXVHKMIPfVQRMMKf/SL9OWjUd6yqKGyBTmwkmHm7rJgcB+i1nwu
8uqt8MlvKnRz7fKoX+PWmSn9aCuITsSOInoB+E7+JaDjzU9Lxr/lsFx+gnNlIHA47y4uuUGJpbyd
47toZwsyBSNrwRUYhb0e3Po4Lhl7Nf6gEGLoMnCZV6a/QZOD36Y/9J02WX/l7IeFj8qH0g/YSLyV
oeeuUi2+qXX0rku+WScBoAjEo/+3J+BjDaNWPODUiKB/5lt8PSZUa+pSw1/u1+yqqGIfspEdXMXt
stIhZo+2oDQvQh1d07L+Aery4On+YpgaGpz7Jpmf8/U0Hfa0EYpaHgUc1VG3Tly51mUdX6PErreo
Rocbij1M0k+TWatLESt33/Lfygkwdp8g36otDNHtnzEyAAkE/SMBRbhHRPEzmowTzPwroj2lONcf
Df0pgin4ZRV7+m1EBORhZFYOT6hEHprqS8csfB17i7TcIahrsqdT2UfGe+TkO98BxlFFRnp0vfFd
jKAcwaHjPEjSHTnK/a0FxjvZabMzLAnRxFUgeljBnvvhlbs8PvR1sJPpKvflt+zTV0+L/G4iyWag
kL+1/TjuZ/utCjLz0STUklq145Ls+Z4UCOzocnS6I2aBoZml3hIgAOtomB6ZZqf7OfkCZk4n2OWk
7SYdlrPwDTsNPVE0phsWxjxkdt+eCaHdlO4ikN56qRy/zcxek07DBxWH3qbqkufI5sUhLgPJlFkH
z8SC/CP1ZDu3xfyRFdHJy+eAie0pqI82Y8UVBquztrMPPTmMg7tnWbjmxrZykFyt8STmFI2nogwX
U3TvbTWcCNu71zYLAAyuBMJBCOAtXU9DOR5Byu2FRZpi1zuMCOq6hGlQTxTqI50giB7UIxn+Uh4s
x194EjVAVa9k6meN18E3j5569esljjufXfxv8PtkHDJZCCiWBgmKOfZXnFjZDozqLiCHfGRljChz
WImo+Vr2jJH4cOIGnIRwI1SE/W4WxnvrQz/KsVZRJtobdDu/MgnrQzkZr3blX1FsxieW7iOYMVqE
qnAeO+PiKHVslbmLh2DVNtqEm+FvmyhAHEbaDDu/lefTeuAdeUEM+1H48OSdJPqNGcuMNvf8IEdM
rJwsLpWqad3Kwf2oBdptGgq97mWHzRgaCxxbKnXGZ6S77SZ4SqvgFuE7A/vGIcSHC6eN4TN17Kfn
U/vzFUP8iGA0tPc6B3uBoudDwIqsvYuVCrnyWnSN0mGKNYM/b5txMwLoYCQx7mwZvJOn8rdou7c8
QJLZ9P2+Z3S01oGNhzxtnqoi2+gUkl8aZXQWA9WJHvPTMGQv2Hju1KSIisEXtCYUD8m+bjeg7V36
JyeHfmDbA1Wcw0J1HAm2yqqKcgQWYNghf7AdeP52BjG1FIDM6rCoVq6E/hA3iIlUjkQPJg3TMZSW
uU1Y9YzXNcNmyeguy89On13rilhvc4LY7w+o8nXTblj2rnJGq6tIN/WaoNQxwuvjD8WuAH48he9k
Wt38KLQONSMJxhIKBAW5BJs288jwHKNTZ9nPCCDiY2mwqRRF/BLSjG1cQMbgr7ptKFjyWTKxcWdl
D2nhALJAiMP7K8hOJdmFv2axMTnmLxaDPSNhjJv3TBrHoCZtrsKJq6P77Dd8k/DSZw0Q/mKhWlnp
/G4gh0VpwszP6vGh0Y7ce8P/49nyl6PBX3NIgtNjpAUKwfpATs2gUFY57qKT5bNX1pjkU5tRkvky
+dY+MRgFeJPId0GhPot5gO/XRo/jtCqzKTwzCAX9L2aEz1xXAooJPKJj+m03BZQTt/71BhtsO+7G
bavjm+JI7Av2q6FfiJWUS+vimQ9JQPXKRnSFmA1rWZ5ybpZH4JqHwk1/Y2fBbKSM4CIUm+PCHklp
xXRC2Obc9JrOlZe/LYdi7cAuoetglxI9jXb0PXTsy2AOcWYAaOVUm6d93I9/MrNC1My2L3BbeSxm
1I4TdEePx+GoQUSRzWEfM5FG8NtyXPZ4qvyYIgUl7pzYX8pQvGgmyxcP/iETvzGuNzh3H9qKr2SS
f1HA4Y4kHZqxr3pNeDNciyrPtyf7YjsFZP06d/+QWlm/JWVLOmOJsdMywcUxuNy2mSacwQGlFJve
nhgJVoTkN7i5D+CPnBFqY8CIRvUwPEUyz/YTM66Vlt0LFb/govYGPg2yeD2BnqohSZkFE1yauALZ
bYaPuav7vTOffXpJ3DEhkqvkt2az1NshIwPHwIIgxXMl2pPvkyi3/K+eW6qYPtl0XfdutAWdmACl
JFkfGUMpj+7UeXA5imc3yW55Dk14mtiOsmXZjkFjba1Q4uU8zYzkA1iqGx58tBYZq3SFLKcLCRcD
oeOtZZTmx758p4KqTmocjqUw9cZjicrLm+1mHL11O3+5NQ6B2KRon1cscVZxKUpwpuyBc/tKR98O
4aWgebS8+G9CiMmUGBoUCvIDjOJkHHWgwdhi48pN8EhHjeCJLClUxA8t96a3mOAzCqmNW+t9ZLHl
oRtE5SHV7D7quNh70Hhx5EW7sIMEHnrPCSLbtec3hO6i4wtl1R/MhfkAI3bdB8aLjDAdYoQYtlMA
fpEOFaZH0f00RcsorYUrG7NVDJlI869/WDIg8igHbAXjxiAyDRFERv5iwL73oXtp8qS52E0IYqPr
NoWyUOPmLofJ11BUT4EW47oaRpqtjl4+93jbGGECRORNyfsEtQaJ9ns3aS9OYRnnMfho+zY+23nH
7COKyS5u1WMxouMIvX9lX/lHv+u/4hDuGSEYyEqDYwGQ7eKa5dvc8VymbjCiz0iGqwjjW9Ix4ehN
ZX5kdvlmuPahaEgtDSUb3+ZJUHchhh/x+0BGJfcqab333kCSgovAEYF7JAnpZOZudlb06Yn6jt2Y
Qi5CAJcm/KyP0n/ltM7ChVXieQ2N+XDi/jlDdcRLknNWpz1+kEn8dkkAzrOY4y1bD5CXzdpw0+Fa
ue5Bt3WBVWV8AlRIapmHxcfXZHGEXXRq1EgYX6VZZaIAcNzHSk7G15QzIgM5QYJf6cY3Dbgk4Lhn
QWwe8y4djgno/a0DBFdJ/0Qw3bFU1qoebIQRon/3Fps0WIm1McsrIrhdU9bOriIiZxPErclMGoYS
AcS4KAKaXlMMCRMts7pZSHRWFlFhK8cjA6ipjV1n0HbkZGUvEJ2L9DnKQU1BMSrR7Pd+u1IVKvUq
+GxZMZ7k5D84YBXWSMA1KSz11puN3yJLn6wpAXSPhM1s+0M2s2eryVNR3VxsGZ+R/KutBRDrtiA+
LCyOABLaMEARV8MR6E5Nrv9wXAVrrF+3KgQzZea4p4vadTZ5G9g45vNrXki+VAwFbnYYXUxUnUcZ
4JiMe72Iqz2jpu1lQXS0Br1Z2nrHJCHa9K9T5r1MYfE9WTFZKdgoHCZ5AJ0D1FKLJ2lYprJG3s8M
91dk3sqHxJ1ezXo3dazm8hicoBEA3gm2fYXksMiM78oCONkkHptYWrqkBUWUT0HPPOqo8xRFROE3
vOgaZI98Ym9s7+02+0rJYUf+XzKiiZnW2uyeVX2vhbr0CoiBgxPPGIicZ935rXX2NNWAjEc6PoTF
tIOmA049m1IykNRlFtShcdhdTTxDZqaOfgLO28BLczbc6IpS6u6g06+xLWIinT8UH3SdmGTYfPhL
L7ugVwy1EobjXypvSDeINrqNtbSqss/fiGq/tkULnJ6ZlD12r8Z87FXyxjHRQyq1t5IVIjk5aU6Z
pMRWmxxWqQqwRBBIGx4Lzdq2zzqusekireYzNZwzjKdmy8IPW3dWHUXbndSUhQ9e7v9rRYYezqLQ
LZmVQ0P0zTUCEfIyY/Xu2ROdasv9m4GOhiCjl3hM9DUxoToVpnEqVQN8n0cwSxAhLzbE3XXPhY/X
f5rhEUaNOkCRAkDUcCYh2zrQ/64jtGbgr50e8BrSHnOCKcaWpAXnUj+5ZgFBMfyiOJtXo9eEbElK
xEYUXau45R6wYC/vSgHTPjF2hjA9wizgVyph/xReasCTQV/YwcNq2VzEy+QU5Xe1FXRPClFehQ6G
ywgSGKFD3FM+3jnP2nsaGWQyh9SNS1x1EB6hf68YNxrQb7v3OCZ71lycE6UfPEyzx/gEHUzqTgVS
oOghjeGVxmzZppj6rAxlgtbSPTjJIVj4lGVr/IUoQFaf3ex15p4Y7hBsa3CjtajqV+NYA3b1D5CC
wrWq3WaXMRw4pUH6xodfMf0ywVEN4j6CALIqaE5MycXaRfpA+wE/kpM3qwsC3XSR7FmORiDionWm
oXjpMeUlFeWpHC+uQg7gzT9lal04j6dNiziTd+BP3vvv0l2QubHzkCh6S2ll27hv8byNJRVg8hwI
KC5BU/0NSvcpbYTYYEtHPzYhRMqda2tkN7xkIP1HclVRAUV4eed8z4inNI3fCGzKExNZvND7knVp
YVBISybCwITYTq2BW7jXgFD5VZmzay65OWQiS+w1UbefKgA9Gj2UHS3xdL59JqM320gv3tHBvRCA
9DWr4ocVDMm0RCGgICk2qLiP9FH4rEfHX5vw3NvOe/F1ww4Z1OKKpec+Sb5CgRQhVSab/CKQHEOx
OmSesw0sxnJz2TwyBh8mt913RYm2x4kQuubAz36UQ35z1Yu99KBfjHjXQSll8IeZIrL7YRgREk28
zsNqmy2vq2hbPjZGah4WVuTn3KEkp0ufr1mk/Su5zx3mTk7vhTVtjNEtsy3UVktxKoLvztFn0lEW
vjnaBV/Nh9rsTvlc/Katg+lxlLsF1JxEV6DMHQFw5r9K1Xv2mZ8UZkiUxnEziKqigsTt7LU3nWXf
IGLt5TrCI4SiaRMRuKeS8Gqn9K3Iftj75PN/vPSMyX/znjNmNCNR7dwlejSO1VY5IehyKdAo2HV5
EMP7Eg24Ra9dA+8ZuYPCCqhcfdIpZWnJAkn6IDmjuJWrUtnn3BvvtemrbSO7aVWr9nMKWUc1/0u5
kWcD70RvMPc0HAqfwcMWB38rjj/y5NeWOj6MGGgZZH9P/Vyvcx9zheNHf3kRceWnIQPCojNWDUqX
lTFhgG58UjBqb1+K4bEOjA2y25NRmOVOu+rOlcFBly8fl7A2XuP8nfwl0SfghR5QoGuhUXsAHVt2
z2p+LWVCQFKLJd9Nko9JCMA7naQqs7Zs6W/STn5UYpxmPCwoUfzfyl+5HQ+CkgqBsajRKti085rL
YcPaNySViyGyWf0V1a17K8UPYqbXbgRRMDLj0JWL0DiIv1jpgfpHR5upPzgKKVX1kioCpxHxO1z8
YczZaIDGTEIn32SOh6Y2PzGCAsEChk927leYUGpiRzpkYMXw66eXchmIyyqzdqNUHZ+S/s2HBFVc
lH8ERewddv7MF+zqLqRRWhLr2+9AmJ99B/SrcjTlRUMWvEayVnved87yaIcp7n1u0QloplxGiQK2
01lNhWR9KS0fI6SIuPu6B7dBdcUYCPO/lbwB8dhZKJ82Bu9nH7F+IfnnTQ2s0bCW9Ns7EuePygKk
Xbh+vms12j1fM3adTHFkFp9e08y42zrduLzQqzlU0ft/+/DemJ4tqf8UqvRXVuYXW1N1P2z/3/iu
gb1DfwO1BvgM3Ods5Zp1hK0B/t1avzVOSMycdU383N9VIeO7qnEfatJJWQryADq1Wexnj4aWFW+z
4dg9GjFLLupWm2KGoDlMXitCZJIHO8/eqpwnIgmbgQQHoVYmlcm+5+uhOEzWxeTB2jOIj+b0qwfz
peqIH+AC38RxcOtwW4ItHd+Wo3Y1XQInX5YRsFZndjuOL99t0RDyEMgn8M8QxO+2ZL6myurTqMGo
RYP6N3c0XbNd1ICRCnEhlBRamm8QgCz0pnEUF+uMi7FWejWoaxbEv4TrfjMtvI/KxCi7aIs7Z8YD
XTrGob2YTraMhiMoV66nWfhmW18jS8qlyTVSk6VgvYw1ZGKLkBY2WmpdqvGeBvv/4+o8liNHomT7
RTBDQGObWivq2sCKJaBFQATE17+DLJvXY7NJY7LYTZGJwBXux6HChCdC7sBgDwuk2LR3aRERI1C8
ue5wMxo72nptsKzr+Nh3KK6LlKwPBwTfzOtKtY+8KF68UrhMnSf6npGrP5DHZBrRyJhry+U3kDnH
qpSnYkbpiTKL6J/aXR2mZP1QFFemsTMqSeyapKdsfBimPmgipAQ3fURaw/r5oPO3n3LnoM/wLZ+Y
6+UAnpWxjXxravMbFRhHa0R6yFgX7F9ztkYOu4jA51yLgeexCmJ0qkEIHJpSWwJLBSHCjUrF3V7z
+3lFxAqmFvchJUjMzyPi4OhDRBJ3JIcgEgd29ogKImYJSWUN7bi3Au29BatkZfk6XYUv3xjAMzOd
uKyVA+Fb0k8MNbI8KV7nZEjZJcmqTpMHlqxHzLuI+r1miji9Boa5VhUQb2NgeoJL6dyzQ4YET30x
lYwa8Ml/yilyNiCoL3GVvJcpNLQp2+Pn2U5s3Y61ZxyI/8kWDj4FahVurvBvj3mbrEZtyiFPC6Kn
M4OAqm4C1u1m9bEskMd2mrpWyPo3iMY5/rRDI6mebH18NXhddDCHcwlDeF5YhJdZDw0BATya9K+T
p1HEcB9UdFBjhKCf23Zjmd1CpKyDDBpKsiJmSB0Br15KWuSILF5RhXJrz3R012OoL/FF/pBhFy8T
rWDsnZZzehdygER0e3gW44HAuLMVrhhYs7uXPlkmSfTtmMhbqrmxqo321gqaLo/15IJcT7AJDVur
tjq55vBluEO/A2ezV4DP94UtocXkFycjw3DqCurmDcWeO4pzZalu42kJRsJErBPAO8ANYK9GWv2j
mpX9aHyXXRRaULrwrJcJvHevw+pMlMeUj4epeLdMGJAq4Q+N1eDm1I6a2YJwBorfDe4e7Ev5m+1N
pNpLBIAe33jSa2iJBjOhzt0rmOF00K+tZbxMZLMup5RCp2zbjxZQ7BDXV5Iz50BpEDK9eI9s9aGk
ZG2na4C0NMh+DvslpcIVuOt3OBV/I2v6YkYeLeO0vWQlZPYgWXJS5BssRAHYDw5ZGAY09SjfbUL+
Aoq2pd5TyMr6ENTdh+3a6owqwl9OLXMPzyWe1ip3UN/MteFbT9htvIya+KHQDvPv49rLdOpUPKIe
JQT8nG7lcNJDjp1mOc7wQSWFYYwbGYA76gYd8Tbo3GhbDCMySfGXxRvHFCjhRWN9DFAwNcdMEEn1
DxEz7GRcVJzg7+96/wLq1qGpxX2nf0dZcXdIYmbOzJRREUJRj/W41FgZEh5Taos60z4c3E0byy2/
iZFFReUl58iTe1ma1gm6xrSzB1b/kxUtBm7GjJB8OO/Sp8i3zn2AzL6tO0SCubMkFJRKw+ENBJNB
uBjfVUOr2tlcYKq0YuakjmCShTWwRUpEuTpVu5kkF2pkNiVoTJbIYGBreZekm+N5rHnKeGS0CLhk
/g96pKcrV1Iol03obLP5ro2rMF0iCmUG4fVU7z0SCDNl5j41/iw+vrG9iRcBs7ul5/sbX8MIr0TO
7LUjvKEJN4VWfZs5wWTZX1zv6VJvRLSsgwiqeBVr68SNwLkUlE5z+Zxr9EranEjRJfHBq3z2YNnI
3Nf6hY1FO+fNcB7p33fo9d9Y3LBYAhPQpogTs1vUN5eotakC9WWVDxfMKYSnTPF9LBLAwlXyorTL
4A8PtwMNKjU4GwDGV2MRbOkZ3D2Q/M8ecct+SOt1XqfnMQX4Ds9R36C3cI8wTIMt4XoaJn+OBc38
SI2o2FJubquiXWMwPBEyXpG4CcTevmQIG9c2GDXlEKBF1kQ72O82rrBtlnFe+4QxezNKLUiGa4y0
k8Oo+lYoNNuQy9GZVnWAsJJ4PSK6hFpZ2BRJ0YH/6cX5I49sdsEgqEmL+JFk5s5K85FBEHKv0ZvO
Qw+4qRuGb3eG53nqSGLZoWeYPr/3H1YcxkTrhFx/3r4YTuCptpmbENoAGoO//DsJz83a6xeJAY41
7LyTOSCugim3V1AN5qXlOopUd/KADWtJnmxdnGwITd2l18R8ILLwJURPPsLj1wNS7Bn1M3yP8sNY
vsVTp7Hqc1ZeEcnTiAhQgPFcafXTsH2tAlFsLZvftdWP6HuKNVDhljlfugZHRgU6MY4diGiNLOI1
51IjT1S9KF2SYoJZXSwHktEywc0+8byzpFqfZTHWoZrXApXq7mmEYpZl6rwtlRB2BvKjNYwSZgPW
Di8O4gqwWMOcwNkFP4jXKJeW5nxhevERjQ/+X9fOzfeW9ZpJTpnsR3ubdcgH4mk8a118y3WL6U4d
6wsuw+vQAaE082SpvFbf+G74kmepszcr6pvS/JnGHuMGoWsbYVkwZLp4n+MVJTx9bQxtudrW2AzW
fSF9rruOmCN6jBRsCmRErY1vxJdCCgaTzb6SF8xz+ENjBxOXsvqp9/bvzMS0nDAi1QIrO/Izoa20
DfiJTPBp8jGkeAwCBn3XGJU6ojzZFn7xS+JW3w+1uQaW9Zxg/sI58Wip8DYNt9alToFta93Pyl1N
at6t1y6M0nIQa+VraIcHCmTBjIQ47Ff2aPj0512mHOvvOi8Rg/poS0xysWgSsnULZXwpxm9A9oDC
8EYtJKoEtgnjl13BbSmyWjLASw8BnEOwGDosHwYqLc6OkiE4VA2/XiYTe8akpDyzszg45lSaWPKR
AEfairwKOjCfCSxiQnNb9CQyYI2Hl1YhHRSWvtEg7k4Nd4YKPP16akjNc0ZAs6XLNzMpqQz0poZe
/uS7WWFCXTKlNLPDTvcbHDojFKSI77YQZnzG25JVaBqN1PithbKEPXIoOHR4r01b3byVTPuYL3Xx
Cg1Fv6k6YqRq52+UyhsCDH1IEMlrqr6QLsEpYnEzQWDqD0fZ00MQS6ssax01rDWcKIWV2bdnvTG+
KsWbR+fLQBKdRNCdRs2or+CNoDY7lGJpW3+K0jPXtR+fGSm76Ka6kXs6ysbhFdg/4QYa9Rtpew+D
dcM2sFyUF6n1ijvvT2Ja0d7CN0UvbGxHg+E6w1Tch33vXZPUJK4I8T2Ohy8N6RhyIs9ILiljEJKl
hVzraZReQsHKdkijGxEDtrXTCqwt9ewanSwSz3yHqUra1NG1cLjVpEAzbVXyuvppce9Byyat0r8V
jSbDo+iA2gQqZhcg4LXkHRYdqKMxvZcWqKNhlGSqtiDO/Wp87Sypsd1nPsKq9sAtVu7IgcFTgk5o
FO0xy6Ly4BcaG6TQmGBh6K0f0rDm9rpokz956sZ725+GuaNMd6aNvKBo1YOup0YW0BdLXPPxD5n2
7QzWIfYNc/olbc0fFmvxIjvxXs72Xlr/QhcY7kd7ONmBr93YYXxXzoClZn6mCLscbYMkyLTSz00M
P04x2Q5YrOxaDO1y6BFN2nAtZc0YJ0Jwu2YCgkIxTca1mrTiQF5HY6DkDLMdknh/wxZjXIpUlhdz
fnh+pIQeHmoVnP/7fE1c1RYjfrZLznRZzYt0sPhMKPiXHcIXgQjnYREngphx2DbKQsvfGuGWeTKo
6cgP9llbQ8H0qR5QoWNRBQmxyslIuSEo9LC+8nU4j9i4pMnPxreNNSW/IDA3QsA2J14Qyhfs9Jaa
e/CGPYSEFddz/o3qn7MOAVyqFc7rmE/o5c25/25c+9Uo/B81cRrUP8ZEGgcLA12k8cUqqukdwuyu
j/P2Efeu82Z4QJGQ8rHejO8mWI7nf1J6wjv1ow+E3ajHB0yDrVHZxcGFHgeetjDf/tdTbnsX+FXv
dWeoe06EWCiKhz0/IOgo94h9vnWEEubYWZdAJ7vLJJVDhQMyNeEfO80JL10OuliZJlCMIdgUqDCP
QeFbexI4XvN0Mp1FlHuHPirQ4k9udvZb6G1S2EcxBfaRK54/7MC5G2eue/zvYVCpdyQ0EFGXG09r
PBPMKD2r3WPKsx5F2jkX4To7mP3Gssjrfhc7RfZW4W5Pofo9hl7P3gCqXKy0N6++l0UXx1DvZFOG
S0fvxK5uteFhQ2K5F8EHLNzh0Yw2AWA5caSjkbhnzSix9GLmaJT3qOw8qKj0ycbg6vWIpwA/HmDm
nlJ74Uov20yQUteO7QU7e5YyuehGYDx5ageAUX5VCTdCr84/MJgdSuXP1EkNPXIUi68Yszhx0zmn
FDbTxegLH31dw+4qbu6Z6f16MjQQ6M0237c4LTGqAilwMRIz+h99JJepQSKijESy61pLPz0fnpks
/z0VrACIp6l2ZK11O633faRQKJH9XAEAi8Kz57PtspE+rDqrsZHv6ekGa4SOmMbp3w1JmGLPTXrv
WO066qru+MxO+e/BDXhTF3L+fYu98EyBRuR/HsJZntr7+rlGN7wvnhZ5lLENrRE0A8ciXAIj1Ugr
gMUy69v2hGZp3SEtuaRxN/+61dEJWTkudAKjl7aPYhxpVBYRP9jssKSHO8uU9kFrIgGzav5QxcUy
x0+7bHyAEaIv05FDkBsELFv6zeY+ZsjvimrMD/3MadGc4BuKULUVlieOXj+JY6J9GsR2uWtf9cEb
N3ZtwbXc3mnY0LEkMywISVV1ssfjSPTjStcYzkIQ05elXaRX12R2NrFzENxtnpsEGbeHHLfyRs+q
E8L67o9h2meX6N97qU+fpTFWczqC/vA435Cne2sYmNrWsC8u/qF3fjnS2e2hP9nMcvPE+hBpp+NZ
JX5x1Dp0x5LJqVf4P4c+io82tnGWCyOrwsDYqCIe9woLAWVDRBuTV+XsYtmD+kFuNwjrWlWFtzNy
KvEcWx+Ua5CDz7/D8yHUkeB0kghNS6f8mM3CynDOKOqNPaC4+XRkRkteX/IQYiJXCr/KJm2//h0W
Ge6BCWqZspLsnQ0Mc4KZAiNRFKz0CdTX85XXp6YjKDR2eAlNBP5YieSR3VXd7IxavKc4k1h+mfmN
RSP5IFySVESOXKWDiUc8Lc6JBn2aUNrhqOO7WfbzxLVhPYvUxD+i9Q2OwsD1OiXFsEoMHYtw2j0Q
kEeIzOzwgWJuPwwhN3B/ys/kJgqSfN34qKGq6DuXGLB6WzkXpxb1/d9DX1bX2CWjDGwBEgB565mB
3JJ60plnx/62maYvp3LMXWsHxZaEp3lS5t7yxkXSq3c9iuGpOk19UnKSDfukMrN3XqjoEBpatMET
kO8yKQ69aervK/hu9jGM5bTwyiA5wa2XyBWtr7TqGRA6Zs/eyXmtnVC9VW6drJyJurK1zA8R13gF
uaVaha22IAXKF2GzNmKzELda9+6mjHt7laN5yfJPEx7mqmmqbG+3yXtsTiAgRuOlFiS1k2O/D+G9
fE+ZdUsY1+5DwXbHS/v0w6LGWmtjUxBX3y7DacqO5uRlNKLEi3UQdlCa89STntxNfbuzBnNZAlvZ
9wC0MevPp3aJR6YjyqcIRmOVkgV4I7eWmXDfgKEk3mXboQS/ZIg8L5hI+Fk6/TcIq2mNDQGhCy3C
ipV5fqqjCl2S2xiLJ44pzbzwxlgPRymDru1EaNVrHQ9QDT1sW/mYpyep5f62jl1KpXw4WgC41lyO
LLWSdryk3jvmxf5c6DbRET0yUXK9xImrsPGj9xZBzplCVL2aWkdTXd3V6BlrBkbUJg7BSbkz9ulu
6BqxfL7tRTbBZvfan2QH2C9W8huMa72wGUxXiC6g++CVMxBCck5E2OTyhEa3TM5yBjzgQzWO/w6f
FPxCh5b9weDwlaEro8Sgb1DjROXVEqjOieFZoAAbfzhIPgzTz9ZgWcW/2ICJ0u7AWzML+JJOsI/p
wbWn+q3Q2t8iQ5ZVhaY41cTNUTHW9osh03OE8xphFtgGC+uqKwHoN/6QHsAGFLcpibK1hsIGpT9G
A1u0f93KRIvFb3ke9SI/kzGv7+rcfCgD21FTwxivSxUQZ2LuYyd72pAZ5ClgJo6nQ4cpbcr4wsdE
S4hHH2P9L9GYLLCQGdBt+YUDTz1MvccHT77hMXBGc4t5MqdKc801B3aAgcinBY467RSZYzEfDoxB
9WY8DRYVWOIESCaa6ldjcJMPaQKeJ1THWbihAv5riNhfRYkHrmRy8Rq0XrAXUaGBQc3B6fY9Boix
wYgdxV8hhIuXMmSATfHn7l36k6WuTAHzgQctJ4gPNeDMtVKIkq4eLHlC08mJ8s0Mp7iwVyKDxTxk
TMgrqGpDBLhCMBJ8Hv5jNKVLu+E68MjEQ6zRiePzYTBG+m8/LxjC+JTJqYjZ09caadhW/4mGA3NY
HXGG+DZ0pKhFy+wZ4hCxSiTHa5hO/fwwtF5zaBl12gF0Bvpodzwk80gvNZOLw+zO0aiJQjZDV270
5LrqTn2okvwzg1F2xl1SHAq0PovGJA2p86KcWZ1U3GRRUNi4/bZZ05APWM5ldB/egP342zIU1r/e
p+G1fCuAX8ymRgInC/ushNPcC1CiDtXf88gZouZgd61cFyK7BmPQ7m2zZzAY1cMFVi96Yo6ibdsS
VqKhe9UX8/SYcRirmCBPQfKKcdeF1UmiB3ggASexnK/ahqDaFzVRcdtCEu8dUXw0ag4EG5yeXix7
yTl4Vhia+ncKGrnJ6iliOuXA0lHjCbOLtq2Cxt5gAHEfyuOAmNK5p7djmk0nIk3EiLdG5qzaQO2s
WkWPIqB+aHAXg9FeTjKuT01Npoo50y/+/eRD3P8Y5hMQ+e5tsgmgcUcaHNAREaCducTTkAfLBJNb
UVcA6+dLRmDk2GXzUzNT0XbUYrlEahIc+UCiWU9XtSwSsBeomoXddFR8JeyyJkC72TIUjHUDmUY4
bZ0K0TfO5/TE2jPZh7L4KC0GlQPJ1Yckd5IT/0faX1lZF93NSNvL2gEzUP7u4ZTb4RbMaP3B4Hgj
yvkqmMJzAsHLd7KT6r/6qXOvdsn8gjCgVYhR7/q85lyjEqvEbd1z0FvFIdKNtzoxDgT06h89gqpN
21kvmGjrK5lgF8NxwHxRlS740Yabk+XkDcpyVvHiFclRIIs8/JFPIwwnP5t2ng6zdeSCZSCYDKfn
R010Gpzv2Qs0OWF8xfXl3ARl6c1JUfVJMtsgcCPz+Z9PI48DzAR2LRty2vjBXidpnR+6TBGua9rl
atS1rR475sVp5+iskPC5hAS6m2jkZqQ5OzNF2zYyqU4klTRXLAjB0a27neXWlDywLVaFqlPwemF6
1tAIcpytJnN0XvVSeUdMPw509IzeXrkr7nUwwwvn7jGV3nYtZoHaqeZUnjg4jTa0ZmOq1c1Lynzv
UcsTcBWq2/NBCvMc6vkfPZvuVu6y86a49MVwy4IpOKqxgUNlo7Txx+oIw/5YJnZxrJPOv9tOv3ne
DPpJytW/92pXWp+wza5Eg1oX0abpq7RdXozQ8CAhF9YW/me6N32b+E0AUOiaSRup627pVb1NWmIG
WWfgqp7wPh3LSrAy9xuKP+h5yCWN4pGUk/bF9JOdhe2EW4dwlSWJe/lW1snspKrDy/PBMUV4aUNr
JPW73rN01VdlVUN3SXq4n7E5INYwEu3OlUctkQYPXyDREx1a39KdJAtDPNOJJAZbI/hvrak4fZjW
awYwDoW3w/0QWhBgaq5mwsn0RSVTSujUIrpRsPJJBPfqmqHTmERlsIlGzdnANSduYn5P44EF3AAC
Y+1QdtRh3RzgXmenYX5wuuyLQ2HglhOnx8ot5cavJszd6DBeR6qGzu5YkQ5ES1V95++w3dydRgRH
2O7+0kJ6fWjwni7i+TuZswhPuvJHAWjuaJtd9BLjNl9Kg+QqpRQgG8RTWyRDKHN1Fx87o6aNCwII
6auZ3XrHuqgws9d25I+bOmiymy+cyxMElaqh28RKH49xh2irjC1326bsBKB/w1iri3fZyT7c23bl
oatQ5TJvs/KISCxcKR/AtEbvtKi6Vm0qJqdFaeSXnCyHO7anajujYZAOGecgtu+MeJoXc2KWESfZ
H0rf/ivFm9RrWQYQz+fOCk1JEyO9l5HJg+j9v8lo1qc2ki6OC/ZW7HenfRGgNMtrEa3E6Mmb1eju
VsefeaidCNjFGJpM3rWllhT5tQhsb6UlBsCu2gOwP//oHQNtxpRZtHo+xWDDiVZEzHlbpBUIkNKV
XdAYdg62Jn6mM55jxu2Gvyp72zqmwi3xT5tIYR0N7XRgwk11iefm2AX9IIEtqhybbTJozU21EMXM
EKdH1frvpkVZ0dLtzaGJqBNmRf3SNEhhoVxzTrYZxPshyl8cWe7SwI9vUyHCV7OPuAE1ibYVGZLB
Ukz1UY9aSWKXzT6eWO5ON+JPVKSAKRBoXsZB+5k4jbbObbu49W60fR6oGtjJVDg9A4h7FYb60XGn
9KRFzhmp+zxPnX/LGNMJeRbEPwiEIVNnNq9PupLM9r0/WBdISdYJLRicCdcKz5YRs9v32RajSm3l
eLOc1Lym3ldga1QvdU8so+aQzNJdhMiZWLV8DwyELF3oXhipmOZhbI5VnjigI/UOk8Vd7xRb0Hmq
RdeyYGKiXUTXvvhVkHJg2p+NM057G1R3yf+RBCeTOPs8WP1rtIyiXk4MCnC/+CHBfdms2fTzfifY
Wx4Hw+OmxjnNMBlcozn9GCewGk8MVGf4t8rUw2Me2NHBySjVQzKCjDD7Izu1Cu0EnTQI2WZtZ6li
YVv6VyOIk7Mf6wA4aH1rQwFmsKZd46PKQRhfrnpal8OT2+aY7pecajaFuLHXjSTpHOLoe4QB8kIs
Fi1o41wHqy4OEp6IGfZb083sKxdAD2JoHmTi48sPsnEYOUrnN8nQ4BbSPnoZvzvsHGQp8JWa3k1H
4XRrV3GPqeBwjq3Q3qXJjAzmU8geVLwHbR7egCTFH0uTefNR1ka2MRAdbPIEdNbTilyMRXTuONey
4qcL3aMVaCuXjYi9639Pc2mpgwWa6R/5LCVTbVuxxsXJkwXbyFkWXVu9CQPtra1p47oD0sILOudB
6K23NXxuvk2KLLmcCwqVyhAUAaFLcADf9HA6aFGCKix7mRWrFwz+8e35kI4UBE5amUc8ydob4iDC
1m5a60bfAFtZwYbNHyPFm6hIfd6JcmDMZm2jPmR+BOMKigC2v1VQ4M10NF+uS00FvC4VA/dp7NQh
+CP7Uh1q2bafbKi5Vr1Pt8F4WmVB/uJ71cnRI/rwGsh/kPoWym9JYoOu6ntWrEjvmvuUUf8qdZPX
y48fXs6S323Ua5qqXTFpwOxkEy+9yG4OnUfwYCXt8UzbFW5CCzxc4JA4jygcM44L1dDU6s867NQ+
QF91jWmOl1nmQ08brOmYxsFfJlVoxn0f0hqHJocx+jOhIg/tUFdctOFg97oEywJomQwBdkNUw0Dk
LeNkaTA9cuH8LFw5PezYvIBZta4CZb+AivvvWYZB1hRZudGhE3xOxYMRqvtV2DrD1CHrN+bQuF8d
syHYk/Yb8zRsqtYHGDy1JlfVfMkTqIYa6/MjFAMwsOw8yTj5MrVR7mtMPKuC872A8vOi4YNaPT+K
ExaFz496Rn74c/u1BSh/l9ixcX8+WHGNYtBFxTR/qhu87DLvZWvHY0kp2yPFYv5o80m/kTbBlrgB
aModnGq5HgEOKB2d2Pww+QAGmEWTZCPKe+/k+sZK2f/DsSuR6GDJ99AMnJAYuYvEAtHg9JG/z6NJ
4KShI2h7k/2v1p9LbziJCUGnZVAODd2e5jQ5EnsrWIbR9vh1+upAPPqCQfKBz1ijGABREYusPacj
1XfPfn6XgZ3e2BIFuwklBSuE+4esqP6mKKWr8Dejx/j+fGBta+2i+QdyC9O/6X8HF8tnrIXqbpt4
EiMm9ndUy3SXc1WWDvBVSjGQHJ/kv1K0sMzYm/QqMRMQemn96kuneiXsb41arlz2WeBDD3OcDd7G
m43yzM1Uh6i5XE26/2do8uJkklfxsbI6iikEq97DafkjVgNIh3K+SMpU3mmvwm+lqMfI2vqBPqHZ
unaVv8mEzT2KA0J7yO1uZlyFTjrbMGiYFhrXE8wZLQgwk837NARf0I7IPzIFblChHFxDXrVPQ4X+
PHXlZ4q7bWlGf2rUzMeaCsFu6nuh4/991sGqbC7QkGkAtM63EG9VJKEKGi7d+4ltGdmui+qU2Vuw
VoOeHOXgJ6jpXYTGPae0qvIjNceRldAGRqy/j+ZpmZiicve8cTQxEpeAynudaeVBZf34aekEIxFr
wrqD4iLVIDU3k05aMYlHh4kkTF76wD5gwTL4/n90CSikH/z61UYtCdkkPxoi12Bxrx0Z9otMRw8w
jqV4dTEnrZO2EZvnU0VENAwJ8QKGCx6ixzbdjgbvW1bqGpuqfO+bqt42mocMu26T18gbf5qNsC9N
aucL/GfWJR9xNxVoanblhGRv1ZVDtiYD7swuGGfIPBeVZdPcZ5AMfSOf0+ywuQ+Gkx1gEwEmi12+
JGy1ncp5OXOtOxn+MAIWZBaaZ639k7ixb+pT+SDnJPKn5spxV+0AeOZIiavm2rgcMNoUV9vcYDbO
IArH8gwZtxoaMmDIuBBHJs/95L0nmnnuJif/1UDNCi0iujpLf1C3iwdiCmT+Ospry2ej4MIYuNfl
LIOUfvpTlN1WSYpG3WT74NXpdFKWi+lo/rPm7nBUHpAhEwkdctjO2FSm/MYWgjOwDPccPd4hYs27
CidXvejMbWpMvB8scRGwCCzyYZMYR0Ys+XrCjXsbqj8eK7AlnJD+gyIANrXrSmvrDbzAcVl2m84o
4zOAo/jsBSWb0v+em13yUjO02D0/9d/nnx+RmcNORQOr5BPqtAFmY+Nu0qfLfw9uA2jbdYLfiRa2
u+fnI0cNLAnEH91oU203MoQmvbzLj6PTGPugs8QDBql6637WBgpBHAQ4Net2vPGXZlvnkc7BqVZf
gwJkkt/68acCj7QKIyvdi5mXX7fNDtPXTh8oLSCi2A/SjM7cHMZPxSKUOkMAHyv9lzJBymOYv0sT
X0Wod9abkXCDj/tm5wjQX89+FUm+te8Gd1Oyt+VyQzXX+IwMn0MJqcP9GPHEPKSptfc02Ip3+NTd
r2okKNFImCYIp8yOSCl4OzhwIRWzuudDrw9wNhDY8gd/Yyyw98vOP7vzg6b0Sl8NRFvxvrS2YWiU
+urfv+CQ3ja9jhH8/381uC9iJsVEGaKa6ja4028GHsb++ez5IINQ7LgdVtxpSlFhh0LLVTvD0RE1
KWcmrkuF8xf5QG0eGJvfmzSwrs9PPR8I9hRc/OB2/s8/kD73Jhx5rSvQ214bkf87mSHElezDm2R3
ULqy1vx1Jwot42+fjPIL9xLT/yl09tLO869xlc37y9JyxN6tqxvFKpNh17AejanovidhvaOY4R2m
6dVb7BaPqfY2ZVeNP3rHb9ZYtVlsw+vbw6bbjDh6X6a+5B4djCa5vmFzTYojKullGYfmoc0keseW
kKFsrAOBU5QjnVnVb8sjBSc3inYXjsgk4Mj9hWM1G+/qErqNWX/our7XQuBZjShfILI0S7PiGchR
lt6AmlihT1jGFklt3dIkXErd/Ds4H4z+aU0NN9lmLS5A6kukyVZiIphXycE0kE5ren1wZ/cxKy0f
HWE2n6loVF3GCHX0RVuhY8m3GQdbnYsqwEQJEqxyeGgYQad6oyXfJpvgnRl7gO7YjCNaWUUuJFUn
wX3uU256aOZYbmPoqIApgmYpj7rZ3IK+RdLURNWyHNFWt1wgJUmGEAORBNuaSVqQT3ZwFJtL1JIp
nIXZnsaUDtl7e3cCyTJ8/g8LkJ+MKNK1r3m/iBp9xFaHKJ8V/7ITNdwOGsO1bKjZoogeuQ9/D8y/
berMJf5gtjRAimtVyAuOK5jGjPcC/zoSyAoQ0/NI3kv3sQWyhAVodchsc+vBVFl6tQRRMpyYYapr
jnmtTCy5kNXUYkx1DXSEebSebFrrDjmaLxqAmBhenIQCijvZzzBgbBMyj0UKMVs/rfGLgCGifnVR
nccKqXJotWrXYkfOemyhDCAPQ2Pl96nluIjZ55JgdRpnC7xvJXsV5KemK04ybIikok5fTKYJBSPm
Hsn8bTV2f+qAxBFqagC7REt2mumfdAJGKq8DqKLo8uMKpzbVDBNLfVjEHTbeyEV23pX7ROjbciD4
xPIabVPaOlifeJAc+Ji6bGj0yzaXP3QdgESm5sQwowrWgVXxFYw2NXGJ3XQOmEfD6qCSHhzT+qER
0hn4TbIkYhZ4sGj2OUqOXRnj0FTmLWJ3++ZFpJlHY8esDem6SRq6ZrfBDa0ww++ZKDoF2iy94o5G
E7TR097fS2VcmcFkW5aRCw0k/z4o43ivpLaq6WlWHjkDGL3Ar00ZEJAx8L6iOl+2ltmu+8lyd3G1
iqI/Ab7xRwDhsu+qeD91sAIsj1+5xR54KFo8CmEiFtks+8YrY5Oih0ckX6nCTU89RMY6bBmXYjqS
YwfuJXQHwK2sn8dFXQ416on0Ad2AzVWufoOx+wGEYwShaLabSg7XocIkh0E0mzmWAmXWanSHL49c
USI6XG9WOR88O31DsGetIZ5xFikK197+QxO1Ngz7t4MmYuU7EyXNsLGmlBw+1ZBQW7DWcmiCSU6r
LKxk+UY3VXAIJKLJDGAcmz5wiyAIWfVNFHHm/+PtvJLkxrYsO5Wy9114BVyoe8vq1Ue41u4hSf7A
KILQWmM2PZaeWC9EZvcjg13Msv7oTJhbCJKBABxXnLP32ulTrNE6zkz/Iw5VSo35K3ks1trtRXsx
0ZG6FrTEqWhecZzbzwUDZa5MMh29lyjFLFqNNCptjJj7IRQfNRcbXe7YVz80UkxzGLC1wHoNXZcr
HWifFIXSdTa0WzfobgVUYZbFyTqu8FnsDVfFF8UOqZjU0WDb/8kMmk3URO7KYOwFFcX7zSpfa9m9
ejFdSDJD2kXnk4lRjMQQIwMM3OzLYCczCGQGI0FdXwSouU75/ChI3TRWNjxZRC9dtQMG/DIxLXeE
TKxa97GgfnAxIwj8vgC1AMV+LYLcOoahh3C6GgCokFjDBMBQJQrINia8rxKdtjPiiNA70ivrnMyI
3iLJgGRgp/hCNMw5NJ3iClmdmnEE4IiqBqDIKv5Wz2Afhz4iVVyjXBqViwTb3jW61u7b3rmMmXUs
DGTw9IiuUsApt9QU7hpB2D3y7tmvzJIDKChKg+7Ukk11F0dIv/UuvSdBB8+7V3zqSnQYY4kJ1Ju6
chkIsZqqzNpDP0T0HB0y0OOzmuc8uNlVtU24Khz/EJfGd43Szyrri23cJ9q+GqW3d3j0KOpMxC+b
dk9lp2LZkfcIv1vUyIDXv2vAH0F/qUPZyBBNuv7CO+mlDOEWop1bSwcOilUbLo9an4Fn5YrVRjXH
O0rKZCjSNBueSJt+g7kGqzBcZKWPmdoQ4Haf6wKgbJK2D3GpqX1DzHWF0xqfSLFAVYoKyaaDoWKQ
g0PvXpISIs3o92jgGHfW5lWrmTuoMfn3lUIrKWjIs94TO7PWkh0mQ1z8QXXUk0ydCXwKV54krMG6
b30SICCrnybBs2ZUY3TSBu37kDSXAvfZptCJjxh743uRZS9UXtBFefH3ou2esmr6UE3ibAZ42bHo
FBbyZ1aEM+nUhHuj2GQTNRhU5cehAU3T6v2HcnTcvVHjTev5OsZauLbky24ng2cnyMf9jaBiGvGN
nm1Tl+fDbbZ02FduHxoHHq0HgD7sMhLCXocRQwGEOMTzm2jU+n2EJExGmbMDP3103P7soP7fo1OA
C+6F+1QNJFT4OE0arcz2bRi26zTjvRTjRh1G9hlemZ7j3lljZPg2+fq16YqLQSznSdbxvqz8rRNm
xouc5SHIdBLk0uEnpUJOKtSWEd976D0/o2jFsI5mTlDCvcu1MFoPpqefxfg0GiPi0uBouzrixJwx
WJhYlISFXgR+uqbf48PDu44bejuE2RcFxyfSWndlN8SB6oJqs8ibjRSsPEqt1xekZqMva+xVi7v5
ZBXs3zNwUE4lkIsgGeny9JUSYXfuGrStFhkKFLAWarbjI7Jcwme9TQ7xF5Mb3TpMYN5wnJovWUGI
ROpY6zrVN0XifyKq91tmD6iZwCJQeocLYUTnTCcGkobCXaxtNK2lwKv5yUrgv9jQabl1mniGUhfJ
/IuIik/h0H0tBhtlDZacNcXaHjHzeOorELFuUnzHkfc9MrMbbiicCPQEtnJgRdg1iva+Cou9MVTF
njUTLeRTif/lrlAQfsyKfAGEiPZa0qt4LAbxYszhmk2QVeSI7hIP8HYW5x6W5+kecS0O6jjbxiFg
0qCTtyhBFK1yBZIJGMVKyB4RmI2CzCbstymGXdpRnXUN8mE8FoL3lUXvwNDhWQ7LOMJWTuvqFhrg
EFrKpwubINWmqq1dr3UbpyZctJLTsUpj1FWVci52QfV2ugSIZL91vXbDAL7qiaN5ahi5qhlAKZxH
3tb1uURmPyVQfp1OrvvvjW80K2EBdWhQkeQohZtOFbtCYFaxhuAY1Tkvpb9xscdO+LVOisXVXRN3
5FsUzrqyUwCNmv5Z+oVxKVJPv4DvbqTmbxUMyb2RxWvUVCx9xuk5mCCMVlb8CcuP9mAZdbPzEbvc
DZ7z0tC2W8aecU8BwUGMZidblCb2dqwlOAUicVyeki2NWujGBWQSzxz6S4qrNU0bc892+V+DnsaQ
Fc8IlSZbg7XsdyVe1Mgn1WfUqYLBmAsxtZOOCWcKoToxMalfnLH6mY/Ewh46FxrWYC5R9wgTOe9g
XIYsiLZZ6O7YS6/zRNFcoZW59WNSFPLp3ok9NvIWNcdx/fuoN8N5n54lTeFAUlKGK2zId/P3v36+
D6lk/+Nvxr8ivHLB72HQriaSZmQLOCcgenklSdSh+4WuxGVGRDToZ6uaS426GYVA1soHMdpf/Hoh
RWjSNEN5EofD+fdnJ37J9pKmrfMDDBM7pEML9uezAxXD3mdsODufeSOOBmj9fuLdWnuNuZBLWbvh
2k71VRpb471hNigbwhfbCE5MO9qaZOkRiFZ+xDpggGZhJMkEleVU2xL/ob9M+HjwIhd/EUpmGSRX
/pxJpqTuSOG6jqnrLmW0n8+7qh3QP0kLeu+tYQKHNj7j90Z/Rh7uEZ1Wes/g9BkrabadWGH9oYmB
lwMfTLNIDsI9R+Pa7qnDVSSEj5Wz76Wq99XQrVAjxY+WiB99NaZrH90wTat2zSjeondM9Xssjvp9
i7FLq2HQTZi1SbGAjKCXEkhj8tzpdndss6jHS1wL2A92sLQbkKCYlYBBWsQZ5Dl4AU+GRwTf6cHP
p2FZ4qJgoWSuWq/Mr01r1A9cAAtwFwkQWgHoq44KeuEGFcpEz8JDCPdwgX7OxjrZhwzZA0yaJgoZ
FaG1bWuwXDDk8D6VhZTcXRsqW4kNnb1Wc+gyyERxaMwNXribuWpXINgYG0Ss9j6GQIizIG35NwQ+
J6FtotysT5OTBxsrGP1FkFjNGj19ubcLDQb//PL2KRj15wgd4/qfX0qCLFhTO3uG1UBfrIkpozFJ
xKu3P/L299/+qhs45BiQG2N5U3Bx5pcywwIsRHucqgILBmHECwNM91KOGe1N2kyMAeJr2dfyiuD/
rpyLiZXfyweqQ4R7GMDOBbufuGtGIOm8JDXcidZGmY+B7fxW+ioMc9wZHVISn0LGatCyhCV4SxRJ
KKgq5Hhz314cw3lCj2xt8EpFK9w8OaSV0t2qWvtaR12KDxnSB6GX+f7tUysOLyPtGFnrw35K0/u2
scsttVrqqNp5asjFmkxx6hRSUAhiHwzWgrsxMCG2G0VEogGY/aEenZuoCqQbkqQHsBPe8e0lKxMg
FW4N1tQKtGOq56yJ9YbkGNZZt6ovzKcQoKLSoulhyjKBoHASS5+1lBH47idfCRKjTRAopk9Gjxho
NTVlv3BCkmsSKt70OFH4j9wLNVlXUZxiSWh8I3LrWo9nN7a0td02ai8HBAV91QCuNZ2BLbVt7kmj
gfJeVOPxOvCuPOJRrlA52z78gLpq1rRAvPZuckPr2LAv0+ZmKVavZP+mw2SypQIzHQbNz84EipW0
D6tXoKNkmbppgyejWIiyN/aDqfCSilG7p1pCW5Rq6IISZUShmjiFrDSGRTw/J838dGQr5TvJliS/
/KUrsph47ezerNLi3gIrCCdjIkphBgnQUVJHGwPEqmc4J1GrhIxPxhhgXf2DNABfWJ3AngXH+pr4
uAXyLHeXgTPvYcIEWl/tImSb0nrhukO1F9ht70heqNMaumwlMVJH6Ctox4b7UfrfamYI1CnjcZos
lLyw6oUoCcpw8l0joSYJVbA0p/q11cawPodejZc0R0nmlYqOyfy1iPGG/DKsJ1Ut2aqwhEYBKsuS
+6qZB1dTZ4LmYs62CI5oKL56djzQzD6xaLCOnmUjX02yj/Th7YPr9T60owpDYFynq8rCEjmy9/Tm
RFizsNie6Fm9Cknh2gxphgBDM15RU4wfghmXrvLUgi3Y08CBEVzbA1Zj1OApUip0nlIF33Htii19
y2KXQpFc9gw3i3rUYHr2enGNzMnfYpk9uImqL2ZY2SxWi/ipDXhEtGafW2lyRFwYrbta6mfNpcwh
K5XsTRcVr5X3JxMXOJZUk1CXPIJsM+5jGUUf2xngPMatS4yBQVUDvQN2dLQcwmu/vPmACHwlI117
IW5ggFG1lyOiIPixdvuM2vdAwU1tVTq4m1BvvndBl97CZCjPmaG7d41ptmcUjNZqbMzwaPfxuO1E
9zHvqHx0PWbhwR2WKcbM0XPqlzr7EFpIdn2TPQY56TnrEwiYSXdu7Hburmj5BrtGd5GO2nuBcQqJ
ULl4nqXtxkxWBIoEd7pnsnaAmnVmLUVHbmLXYfSZhv+t6tZp3s4XdG5VmhjTNMIUqP873wrYQseo
hxrV+H6/r+YXiwraou2EvYJmwgzqlsaWZlv6OEHn3rpsOMgGYqloeqCZEgFjCDTmLiQfY6lRLvii
dVsQO9mBWk25SW1vWvgjaiVq/Cit0/RkcRVe0t4DaOp5w55Grfgj8fffvg7/7r/m/3/yvflZX/Ni
rEKKkv/5EsZh8fot/Pwf8zn88+s/f0rE+J+nuPzcfP7pEyx4YTPeqDqO9691mzT/+R9//DLzn/zv
fvNfXt/+lcexeP3H377mbQZy6P7V59H6MdVbkYj7X6eAr5Lkf/6P+v2f/yMFXKi/O4RrK+UIqiO2
bRFl3b/WDetS9XeT1ibgOVsarnQNIpT/DAG3jL+7tmvp0rCEzpBvsTRDBNgE//ibaf3dRQno6qZr
2qZtsJr837/2T/fwn/f0x6BtMcc058no59nu2z/+5goWpNJ2IahaitUpi9Sf13gWLYrU8h24TiXp
PyF19wnL6701K8cV8ADCS+NVMA+vBtz8jewskONj9ljZGNwUyvO7gSrFConwpTQcEF4a5JKEdet2
9hfoxQsEN/cvFtTG+wX1fNJcTMdS1MznC/HzSWeJzoA+sotLTZNeEDZrk0SV+Ym4s/xXUkDNFaQH
c2nK/uqTVHKXD06+tYJ2+8Nd/vNq/nj15jv0y9WTUiqdMo0yhf1uhQxB0FeZDRovAjRAGMo4LApb
r2By6WSbIChwS+e76hugEMqHEQDCDej09P33p/F+9zNfDqULx0ZLYlEXeXcPvQBPg+8BFEioUN5V
ZbGCoH6q7AnlY0qmwu9/muG+3xcIQZg9/xs2WwMBuP3ny08H0sdeUDL1GIzIBWa3zrM+41oGlt3A
ehOxtcjojz1GsFUAw4xfhB55x4l1/GE0uO6Ovk/7/iWgPR7k0QE+/Km3wG64SV+sHAODmkhGnaJg
QXBHVH/LvQGYh2HsjBlKSg/VW/G2uqsGGCA0+3c0/ZsDttdnvR20fUbWxzaOYrloSPF6AJHJ+iV1
DmFBm1+rz2y91n1X0jMOgGcZtXSPWXzCZpEeclaxxUOKKPqxb9g+ZqZc1TLwmDfUc9P21hI9ydUO
szszTYAKhj2NrTANWZk49bIiz2NVe933tsyHvajvI95717JvNn0g/JMXRcZGZP1mHIaMDR0NuNoN
HppIyzgvNhhG4MV7LY3pGfbowYV9qkZUSskctWUPW8o7yaInHm6bJGYJ+bHeMPNO59RCEByXsdok
unlu+qFf20Z46gmCW5HxrA3Boa48MgKopBId6q+lIElgcPzHuMsfEwtSjhVsbKv8NFGyYsK2XzyC
3xQki09FxyLH6R0fMCT+vdGnUwIiEp43sP31hFHpLm7LeAdQxjpZ7nhoTIUs0YdpykYqu9hDcSXn
PtyAYKj3Ci7kIBGkllo27Uy3eRoczUNW5Z09wunWxtjo+8rG0GF2REA7am7P6WCG6hejGNvnogU6
HAh2loUaHxoXalRARALIM7pzsqkeUZTq56ErxAHwEsLxMcK8YPSbuFYenAlUvKZOscV2QUxZQEQW
ItSQwJDYttHAy6WktvHz7e8ens+9pFBw58q8I3eELGfyN5fd7IN8C623eu2DBb1/NGS5100BwwB7
FBENMNC1MVd3v3/ohHo30szPnFTCMA2yw23rbUj8ocKRZ65IoTD5CyukFJcguxINQT4kpI0dhjXb
sQ4mzqh15X4KQfvd6WnunWe8a0/yRjul/SP9lh1a+/DqPZIsQ8EevLbPS17poPxp/K7KR72uaZNJ
+qb4+3RCV4qTzEZ2vXL9+9/HmMeIH+cdIQxdd1zTcRwLM418l3eu66MFsAXuQIenfWmhrjpp9+44
h06Vc9GvRsAvQnun9QRcyu7YA6LbaMrzVnkR739/MszAP50LsfamFBSQSIa1dcuZr/0P19ZLE0TL
TZ0vwonwHt2uO5iC5G/7NTlhSAB9eDLI7X//Q61fr4AwWLYaNuUZ/nfmUfaHn5rUeRIaQznX10j6
ogaRUyuR6W7EgXMZUxNOVczOQcwv6NKIP3F0Y9VodkvMU44jH3MO8VxGWuwlcQ8nUD1z9g6DSS+P
QdQaX1FgJvBbQnWlxrLQBmImeopiecevNUWkSYYVAbZaO546fP8PVV9qxyZFRlTNG/w6HuCGGPp3
16T31pq99yL81FppWQAcqPDg6xX1R3rd1dWS3LffXx7x/vJYDosfZRhKUHuS8v0kM2g5th8Dkqan
JRsWRBgyoyC8WJOzy+tguKsis9paw6gfwLB/LGzz1M2ybY2dsDe1H9p2PFbkclxi5ANLu5uHJ2G5
gDrgL0bdCIuh7pZ1/9rbtvz0+3P/ZX3CJGyahm6YksUd7653E7IWarx1a/x/UZR1W439zJod+mOj
6Nv3WvqtZku8jFE1JpUgDyXQjVMWsv6KYb8tfn8ub6XPHx80zsUybCkF6gjdsK13DxolRWJzLBhb
QXVKx9iEmqLG594HMs9V7R+tPmSLkSf7WmIa63zpHgLfpogEE5cyF7DOUto3vHSAs1xkD46t7Zys
EktSCoEOGMkHrynb45tDHAgKdBThfGwy/OkdhLXA7cIPSat7y85kaxeXEDDS1PnopZl7aotKANdS
dI8DmBd+UqPs/3/49R2WKdxFInMN/d2zDRksBjGeEkQiJGRN24WqNXlbiybhjkx5IOqYNdfVqJyb
ygW8lWDoXljI0mlo7XCTFzTL/aq4gBoL73JEwOT6UgsZ7Y+V9JITyAC0B1qIb3T+tA9zdx/GZnuP
Lonii566x1Ta1bZKoMj5tSjcVRoEK1TcgWV8dvON2Y/6kc2bzJdRZO1+/9u77FLejWxsI9BBCNMR
Biu2d5XnkdMJervOYC9rw3IqeBpc/4ONO/hopj5BZXjAN56dE1kx+cNCFPkHDfXJSUfBssDXku7C
oK5nrmj4QXWoMDw7OQVdvLMS+HBUeOCUofZexHHu3knSDvhlsQY33nRn1GH71OeTc6yLkYjCRUWY
qONV0aH1TBGsETaRn2Iokieh9tpu4Z5r1El7i/F2U+NafrBSkw5jgfLA78mepNubndGzhGvKwQys
KU5a33xGM/AxjOvHzkT1SHvHpluMvvJNaRkiIdqyLkB+gbWSmOBH/MHuLk6HYC3a2N6PMw86D8yP
hek5pFe0A2uQNN14BtXPxqM2EwVxvbNhTH30Vox304oLGBybRHV3nt07z4qUuUWUGtODgbuLNFUw
s7+/ib+0D3iCeYZZ9jL7K+HMe8EfJ4qWzK2QZTiw5MqGmuo5Nzxw3/TMm2YgvraJ7Su7/WJDdPxs
pAG0bA3i9sYxkRGJ3lm1D5HS3A8+I046KhLIx+GQSzfa9yXFhvkzjNzTX4zg5vttAuftWkJJl92C
YH87T7s/THC0+tKibPt0Ybo7PBHdzRzKRTti8Ir1ot3U3Ipthgt0Z+T2XNKcEfjDPd8nZkHXUBrO
n7rMAbe481492dO+Iitqb1Si2OYN6+RobIcXWyDC6Agv2ngmQcEkvRMlzru9acP+YPgyvgYakTDo
E4bHcRKfzDCZjolBNnNl0Yn8i5v167SlBP/blsQbZyvx7mbpcSWiunP4RVPz9BY9IZrEPQ/9QGOu
ntKjHbXDs17Gj509a+3GCPNUWX7PmZ1uVjaWy6kmHgCn0dMs9wsIHf6iwuiO2mTzyfaeaVF+CUrY
MFZh/cUbzfhlUcbSx1XmXA5w2dKyQHt3x7LYNgpfcfJBOAKZHZE9BRXOij4EP6JktkPWUd14YmAA
dDmhncR9dhLhYDoa+1bF7o3KIJwnY6aImvm0GiHg0ZxK9UOKmFoAeG/jBuJON53brJ4eMddDFHR6
teRfvuhRYB60qjQPcRwZd03de4Dh+BR29iv5w9nBSUtnFWggUqmef3epQF4r/VzpeXYpi2yCfuof
ASOk12iqvKXjz/X3CLSZNMQXYvvWk6Y5H+3huSdJY2uXtVwjCosuft2h7InqbSjiY22RUdVYER2f
xE8vilQE6w5pkbcxER7dAWNKLmFcltvEmVqa1TXRwk0sd3Ugjvh8SDMi4X47ZWF3zSZJ2o3vg20L
UCqZpTIe3KXeduODMX9cdgjbbS8/FumU3DyfYGKKxPE+jb3sYSjZZ+bjaFNgJurF0615W9y9ZEF/
8tFUHuI8b1aqCs1drsEjj/JvAatVdLFiPCZUJiBpIAd1U1WtJlpPS+YHcWD0vk4QaTf0zAfEulTU
S3MaPksgcl1vq0NG4soiHfthR2Rii7jSjVCOo2P5/ZNi/7Lqdg2KFpQQdDQYupTvnpQoBIJVCnQ1
KKG7XZ+tiJAwX8oohBIfZ365QTrPXlmVCbadeFxpQZd8MCZYBQjL9FM+MI3H5qiQ5CCK6rM+/RwX
PipXBQOysg8Je+bvmsT6HRVPFe61afZD1nQBDums+oNTS/BGgEmuzsMnu28J6kZpj4Cts89tOIqb
HRdXN8X/F0973enAZ7x9GJTNtLcSz1l2KQpoohCnS1azslIzcq5WSbHJUipqjAIDqZCJfqkxpszJ
COqTacvirsWvjqGaELRZJSUB/OzzYsKFyfYrXv3+Mqv3JSqLy6xc3Zl7uMwS7y8z8TZu1LpwO/M2
f2LSJ4jNJajIBhaKcinrj0ajumOedx/IAO4WwxvqYH6h/4GHM7h14jqIa13Nr2117fyrblw4VHkR
xqU/l1hA/ItrnJVx9jF2XGsHfQoAoOArpcdNWM0hZP5ebZzgsxZoIgAQiVmwqarvlDcOXqqwcwax
wxpJs6786c/UZpp9kxFXFpX3wdvhGMRrPFjNfIi3w7Uf4vSRoxsfw/TR1/48purJ8x5r62monkrr
KYMWkzzn1lM6PnNEyXOlPYfj81i/ZNozh+8Q/FelHYEwqCSgqhf9TQX5pvIL9SlNsalqnfrgWElA
vb9vHlv4Er+/RfAb3y/TKAOzBeRJMIVQ6u1R+WGmNAiDzMs4KheGs7ORUlf7Tu11fd9jKyCRgovE
7r47NOGRw6uOk3H062OtHW3e/DDGjlVxqqf5GNTJyc4slDgseSaWs0OKm12khFBz4ZiyS6YuBXzn
/FqpSzddh7djmq4STax3Lcqb53EbbtK4NXxs3HwWl6uEa/LoTNA0Myt9pJJnwSP0j1oVRauwcsqd
X7jBxcekdMckssnFTrtT3R44OzIvrdu73o5jqnjPzwfgDg4vOXBAvImtQxMcQ+vglIBpjr53LPT5
MLMTh5GddPR/w2lyyQs+cwT9WeBPw3NNC+eAoLN0zmN3ceNL4Vz6DhvAfKAd4AiTa9Rfc3c+gv6a
utfYvTbpjcMZblV6s4b5KO1lI4Bu3hJ104ebk99HCmdYJw5KI4upNcsjEAvtxGhD+1JCao+1CNw0
AJY70g38jSj8+IY3M2bLXfUbOyzvdTyA9D/fDoBxHJ57oyMq3RvvMiNaxlgp3ZsV3xL67P1Nj/88
Mvv6x5HYVyo2srm6b69BQ7sOQcTFMi95eHHrSxpeAC3TAw+bM4ffnM3w3Fqnpj3xWrSnOp6PCpqr
u3L6o/V2JBmmokOlzwfqwBCBIAyn4JD1+z7bJ/0etF8c/UWZxZ63vT9tRSmamAa1K9aCjqnel+1T
fxzdKiBmLUPySiZVLFddgxNxMAb7gZzW6uzVZJwBfXggvEpfmRA57qq+bc81dOezWdLvImTz8Pal
t5dej8yTZR7C0Sb0EhU1KO1xWmhJN90CJeuz1rbr0qgg7I24oBM9iNZvuJ+AoCnEzfIlqliF8mSG
66wU46f56246ypexISfByxDmvP15EBeLwKn3vm4669gicxE7fnd5e8l0HXtYZ/mbRqAUGPMPE4uz
c2WWyVVPoy2h5V8dq0xe2qFGEJze/mL4+GXJ6VIctIV0TGOWGKn5+z+MHkGN04ro6Rx4lP0YxZE6
mNq0tqiV+iFeiAQQ3lJOFTD8OjsjFib/hDgVZ/QfcoCYD/QVnuhbxbfJ2oQzHtuM25VVIE4CIQYi
luL+JRgIDoOF9/szZ/vy7h0h+A/BNS0Gi4HPfF8FpFA6SMDA9E+MqQbmhXkKWelRazQWmLNrtvEs
f004m/5USftrOMj4lSzeZS7znoZDM+8IbHfenI87FjU4rbpwU5RZcrEcPOxGJMVjOLovmjFm52rm
GRYyS9emNz34wJ2z2CEjuyGhQ8fedl96/ERpY6VODGN8YDCEkdqMr4VpOxet791blWQ9Ulu1fvsM
VNxnW6XjqWrmyTRwKGzPlTMnxJhj+OYFPRyhiy1MOmE2+kr3u7lsQpd/WQbOQ9IPQG4geArathQ5
K/nZDIAtWub0Oitkoz69m4Qb3oY+vSAndrCDIWguhDsew7wnplf30RpV0tqWTltQwx0tSg5tudR7
jE5ow4pTOjtBUnTRK2r++hoz03dkiXe61FzI+0Jka/bO0Kh7wj3xGSR3oUoIHWX5SRymKr4YpBQP
bXMtEjA7DPEkratxp7K6OjlFWJ00Gi+alxo7VVnlSVB1X6KvAaNGq3xbavq6KZGjFC6cPjQA6zdO
IxoltZow2CBtFeIJaM0NCIrzoKaoXJpkjxOUNSfZ2RQyS+MRFzPg6iTVbEJOK+cevWJ+p6TRzUlY
9V1WR/egkKsHDz/jtpNgEvJ+rG4O25dzAiw6DEg50BHKnIQl5U1YNAeAeD4x4umuqA+u2dSkvvER
rjn3Lyowv65yTdOlLutS5bV5fT/msRuFPRjjEHA9mNRjkXZX9vh3aTs09K4gk+FIajdaKBF3ik99
mm/dOul2YUYOlNG1twTawZF2usGWteTl/3wK47LbFRJNcLGfgfGfQdyppe2MzsGqYnVJZQf+P50g
OWcEbTeqiE9x6Ment4/0lojZLoQfkJplh8g1+hjgRjwqYjDuI019rTpn3IQ49JZsbdxrZ7SPHhFE
h7DJ5NVze+bSqIPVpz0B7ijSoj9oGdu1hWQmb0LzqUtzunh4dA3K/6cMmsQSy7Bc/n4EkeKXAQRM
G91zxJ8sq/i3fh77sIPWY6nBx4ls+zFggqjRsh2DWFEh8Mt4tlRehxgUjVHYhAjqPg+CqtVpUuK1
13E+Iwjo1k1kHyESQtAM0AGNKUlWumMXJkEocUWZwH+YSKB6MWV7D+lCv9k0zG9pWF9FNEAD1J1s
q8PYJ5edANWwSdZEB+Ck6MixrmxYjWM6jPdvL2iQ17JK64vLPRnqojnYspPHpM0KFCkS5G69oCcw
fTNHuGldmGT3oIDrZZY2/roeP9atIGe7AV4FJCD4Y26qCSx1kVo8jxE5LX1Bbm0k5K4cNOoflegP
KpLPbkRTiAyKepdJIz3FjpWurT7lWZfQqvMxsZfJ2MNrGnp8yb6HInJs208dlD5dh3fumZmJWFGS
qjJ/3W7ZK4OhfvJTp9gHTfdXdetfJL2Cp9GcZQnAo106AfOd/2FWizvyemjZKITIJqrQvH1xWge8
Mw7hZMIW5wV9do8jKruryXe9VqMOLaz3LDyYKNcre4OEHQnSGIKDUEI8/P6Nh27jfW2Vc9OF0l0e
bef/MneRs6ICz2Xu6hGqoZCVx0wTyT4Dz07M40SvdUJ01pspSbSCdF3Q4S9NlIXMbvi53HrrZ7m5
f3upSMXbZ3S4lqU+XuKZMQXG2jtECNmwM9/bdc5EzN7qyRVMcCECsONEbeLkJMkabhfxlpJ+tsK3
/SRiZ9ikZB2BOBxb1MWhwCGa+qJ8Hl3qtWRx49QAA+QREb8pVGivrZkX9UaIKWGZeU118EQO8g1/
mnUQabWMAsT0b5+9vVRoDNEl0nj1mKxwEEi0TEWiP3oBrXUIDUQKUwtalxN8tRA1LrltTnpsPbdZ
tgKJZoZOyxdDu4d1BIQyY9JonexFi8tPzQgkxe8LXAaG2x0DHUj6YHfmTdD0XpB7o16yQX4N3XD4
FpJi5SSa+RKYVJ2L2MAKOtcQ2KaAMWxqeqOivlU4dlaqL8dFPxOPMxctlb0lwm3VuMV0X0a812PF
ghdKiHNwNBHtKU18oxIWb7QcvBlZwhk7VBhEhcdfaOvU2BhA2tcO9c1VUOL10PFmRSO1Bi9q7MtI
aQ7GmX7oqMfAB+MjPX/Rg5bkzcIJ17nEuk7NXuNqtHKL7qe4y0zMsKSai0VnQ+SCk0GAu9OeckQP
foZHiXLFDsdst2NZ2y31xBT0KsLwBAAL5a3bGEzU6fcuR6A2s77Q5oi9lpP4MxAzetBHc1r3ySS2
LvvMU130ZFv2LoC41AgORtYcrFIfCGuZE7QHWN25RnanUN1LXFhfNa+95VrxHKg0X7VpVe080gDI
c4YD3FSJOLx9VFhYPhBtNy/aWXmDf+EW9CvNl9yG/0XUme22rURZ9IsIcC7yVfMsWfIUvxBJ7BRn
sjiTX9+Lut1o4EKwkpvEpsiqU+fsvXZTf4Tx4JxG6kEoBsq820JsIILgkuUgU4/09mIcdSMI9GOt
VeS+jf7QnC3O3Fstr34mTzTnvgbkUuc46aTt4RbviQjOcbUq6zuS6ksesSR2W5rCdPxnuhI+VXMb
aRl4IZKLlhQ7ujfcKCJRZQAFI+CAEdiD5lp+pUgjNGd8seqx+COCgsFUPVW3MtbDUyjqafX8DdO9
EeWyGULXosEOhZoQWTAoxCKuZQYdoNp7Ob3Mocirq1ZIf5MGjcc5OCHnxoiiQ5pHA+nx07hRTip2
ssLCp7TAeCA3x9Wp0KUbGCnXypv0LcUAzRqtD7gAqZfMOVPGNgWctOkqglZtp3eWdjVKIDQIB8du
+pmIAFYAo1+DTtePZH1B8m61ao1fo+UR8PprY12QgdGrmd+ksD9AQEaYaqldLtDcnH0fxqdpZpX2
zJkvyVDN7ChfLGubQCSPxttOn9tougb9ssV7UiOJ3mUl+JEwgGffVSHGK7BCe80Ept4DRN+VIQN1
Mn/Sy2D6ktRK7kzkkMD5zOYll1ayY/q3YMlud3qpZqZpSrhVlqsNrrJ40btG+m/coUzw1oODObzM
0MEOiTjHHWZzTt5OhIG0TCr1a8OPm5yS3Hzrmsw6kqX2vy8p8tBFk7b1Stfp3iLaultx3nCOzt+l
12W/XdaXhZa2AQYAADZMl9Wx9njkfE87P8fPdK0KFD8LFlpVQl1VgYmEOUXHzPDrS49gUK7o1m4a
yiSEm851SojYVrLLz6mbRUs8edPZNSX/AqGPy8mrnWMZssub+At10R4GoY6hsqKdl4h/z8+gdFAV
+XzG5Ilk8qUNsl3C5H8Q3qdeauNSVvh0h97858HuPtbY0LTafO/QGx6G+aVJI3+RpG280Hvp76Kc
rBI1hJjoe2Ff0iT7HlNXXDwviSEDgHAt+RT2nP161DFiuHsjVBsrp13uE7ImQOns8dvXnz5bcjR6
97jiwDRQ2314efFIayj9OKBJAOdjtvRG2yfhSspuWnZmr7+DJbogZBuvtSMiDjTDrak151Va8iLL
kQlxbag3gCYH3wtpote6iSWuAhA8vyCmxgVcfuhBZ34EU3XmVLnWNGM6ZqldbgvdnTYJ7mWbZJDf
etFeBTvy9TmVhlWAm5bo1menM0pjtSbUxV2Te9if5khQ0yuTF/aCmekEIALOMsngGT6Aunst3F4n
icNo9gzh0IDV3doojOphSwOWdhK8uFYV0tuVoAyNsjyybZRQMaGdTphntmEfojRw/NvohufE8MIV
OSDTKZs0HaexHLdVmf7kYDYJhgTiGiJaDFJoSy20aFNTFYvwkMYnOieYcgf4WdH01yLh+TOC12oQ
Qr9xKh0npHJCxgezXz4sYbdx7Qh4iYNdW9FvBv4ud5lTGOdmbF0QirQ8I3R3XqYwK/gRcVI5sQNR
4h2ouvq9yAULVAl+z/ei34EzNge6D/k9j5urXsXiYmL/XXfDSFpd2jWbxlFsS+U7mW5YDDX1giO6
2eX+qAGo05jKFsMaA2wLxaInzQ4627Yw8FulrrZP6xGxZkXyqBY0qE2VeozzNo3M4BgPH7go4E9Z
zZsZqZLj99y24XmBDFMfaRjV5zmMEZXhuKmjxtv4aOoB3k/9IqyFfrEDD9kHYZvdCEFnsrNg7Sgc
l2nubQhBJDYjM5xlU4QMEcKwvTUF4d+aRei9ZONoK7t6t8rfEZbqR921MUExyAQQLJCATchf22io
vkhPOEXV5F1Cx2+WA8/ln6orl66sWSr7qUeSkyO2gvTy5gbGrRGdXFppH2/SMYq5IuWwYI6kIQpU
9skLmtcIZuAp4QzS0UktxpVRJ9NqyKIDhHM0PTZueIG7e3Dr/qCHfXx06xGqVK1OEgzUrats7Vrb
L9yDJumkYUlqIvXEnDPiW6N2tcu7wPxSwozeuua0EF2br0sCwcxJ95ZFHmZfnL33QDy7lYmQHiLQ
VB5gqREmNIVHq8ZcVbWcuPRpjK9FzMAdTLQ4h4YcHsLrz8qjXawXZUo6IuZvvXKIOoogYiAyou3k
kT9mA5flSO7FOyyDwznLv3skAox0NYakrR4vdWNyMS81GludiA7dVAzXRkusZWxjPnfqdOQkQBvA
CbP0Qhdn+HChAYoSX3AyXKbEXXtBe+gNQltRCVjdFuPLQGCi++OWBnTawud2qO7/j4h+fiVqwkga
FqjYC1nfSZzelXr7JkM3PxU2NOQi6/0dAVXfiTEElE4EvCSe+so6aP4RfJyL1XS/XKa+B2VrKTdW
mm17pEK354uneQc7SsHIxYl5VcNXRUoPDbnYv8Zt+HcwDaLsewA8kWvsmtAhtIz7almW7QUCBaN7
HuOXBLHUPsJOoWUw/52aiGU7GW/gm78NO9dWmRZVB3xv1a7NzXbpV3iwoNRmr3pVqYARVXeC1wU8
YGjJw1VedvIiaZ81A0lVOPgT5giNSF503udGy1p8NCM6IaQaReGexJTHL5luruLqxzPCkXBTM0Aj
gt7zhjK32Oqdix4Bd+IRuwzQli7/Cg2O4Rrqsbl9BAcfnQyEGk/uSIMjM7VPbqNW8f2YSXsWU0NX
xJCL58Xs+9A9OEK7EYEgr+xn8cLqgYT4TvY3VC3h5FOxHhA08O1WFbOpwcHn7p5Hi1LKso1Pj8DO
9UAP/4ApzdrEUOmY8lhtRqotnaMI2fBtKGIT4aqOl/p7ArVHzmtNlFJrz6FJGV5tBnO/2mMl4+kS
Kuhj01B0tPm4DOKfCV3minWLDGK8hTjKQdZZBCMZ7ljsXJA2dxgG7s7svht7ci5GnW1iCYsjJilj
wemXvQQ33u+4o9itlwHi7l9RYegrq+zh5hOLuyjQad2eL7NoOjCy5mTXhX90HetUg8u/EshdXLu9
Rt7BhlPaowW48e5Me7I71LpXlDLKkWgmNGsm4PJVTSzyQq8Eocbkz7Zxqm5l6Jb/vYQqPsYEcF9B
VxA7UcbtujJcbTN1WbNOu1s5uAzz6hIY3+D+jmqRfBJKO8ncIvvTKTbSpYXA1LxcD7YVHCTIjZ3y
+QdbF0kswJn827IZYSj5VqluXJm5al+iOCdzslYdbOfJXwuDTkNM+32lBiPlbJKnm1rNYc218Ujm
Hsyk278gaJN3bHtweWdok58Ta2OyO6h4sE5Kxc26tafunUL8SyNmtVlVU+5+ZCM5ms2gJ9vn297R
8D87RJA3nfKORSFfpSBDDssWeQzKbPmWK4j6afrbL0pgG1n1Vs7sB8kRbzGWTUXA6xNmm+T1Icrk
PTb7+uoLN72O12c+zzOuZwyzH6awHug49TdLo38EdnNOIff12PmiXc6FP85UbzkMmKsgu/juotKp
D21AdTzVJoWMbl19G3JXXHJe5fzmr5IotO49vRCEXbnzapjab+y8EOtBihN6kG4DkYFxSdgCniUU
dKtvQtZyFAFYwuU4J3pPmf/A17nsp7J6V2QR3vhgGeaa1TvOse6s4EAunr+JKNsXsbWSg6N/2KN6
pMqNPkD277Qk9g4x2UeHOiG4GzkRKhzX6S7O2CEcrcO/XZ3olz6VHJLjjI6Fb56qSTOuKN/DA21E
MuoYuH9a8KERuvTOoSmJe1zEsMCxFR/4J6tTSbrha5W7LP8VZJj/cnDCqd7hGs6WAZ3/Y2SNch1l
evLZ1OPCt8N7A1ngxGwhxF8/iG/lkKJN3Ou4idoY5eNYnjGSRps698jqzhz6nFbn3Zwijw9uyf+v
jTRRu7xSVxsBcOd1YonljlEm99VZU//imGgGN8at5TfOS9BF5aLQYw5oYWIdni/1zLQXkMr7wgte
JpDp+fxnMOMc+IQ/Q1wAu2kOs3Y6uH6LdiBTnq4iwqBOYaFRVE8O1rWeduFTfE6bhaD0Kk5OZouB
U9PoW4CrWE0xfbukBIPqA715yLDtHlVGamPS7nP04u9m1VpEKktrybjZXaUt3jMFyMx3qvqjhBdx
UrqnkxCw7vrK+cE37CVt9EOzHv6KTN2HNoXjJpcJJ3qAOr7eHFWRGbsxyV6GMvgBOqhdO9vJ7iMx
wlGGki7BTu232H9cu3lhySdExuZ+fWnyHo57y188dhBzxoAepT6/eKghl7Lz3b0rh3hhmkH9mUuD
osD7YmYTXoc4jcHDTyUZ3Xm97FpG5b02DRsPuuuLnhp3ckKmj6xB2MXEazpJvaCoccnprhwcregP
3WtN4jtSa9xzsTa+GVNFwC1yfoLLrIgdpAVK7QMIwaaIHEeffB+2rRdh3KbGDrvmoZnBGRbpnGrE
y5CUOaVgar8ZSoyfHg8eDY4pvw05B4piHipGcfztlDllH4R9HzsiM26tOqdRfjL0KTiomXuj9OKf
Dsxua5F211cFA7xGnRsSKWjwdcuSaKOtCAByAg6O12U0fme0o0g90fuXQIs4laTl3owr5qQ06y+u
0NoLjYlp5WCFRxdAmGsuGyRwfnHXOvu1Gnv75vr09euE0WmmTR9qzrIsqpLgXfyV7OrxKW50ziB5
yx09XKK6Q8cVsiNTj30B1xAnR0OHGXn6L66A8fAzYuD8/pw2PMgIOcNrOKsCWkkSQ65nZ2gHuxYH
zLvdV8eKRvK/ZG7Ih55H9KD5NgzfdDr/CG1wt4Y2wbVy5oAYnA+Qc/0z18rnuEVjrM8pxpgWVttY
qGQTI53c6o7WrNADyYMixuSzjOwZWxK8EnBGwFJxiau0O0vrd92r7G8w2tBJ9ClCy/LyHDjj30vx
4cP084ytFXRya82Okwo/28JsGWb1KJavtfQF9my4dx7H4/mGrnj8PxuHiM06qDkmOVAKoNIePHQs
uhHXoDyhGkD6SHgevpq2cN4GmWzCWcKnAWMKubAQsGliIqd8LVMGKzHjpKXmck3EHGaIXalb0GBr
1lh+4dvCwFyncersS+IvYJB4dCQV21uBx3N+h3v/b52j2p29iAjwJu8j5H9duNpQUV/aCjRGAXa0
1owz2U3DB39VEpENok8kCKmg3oQR3Se7om2QmARV0lcwtlxd5zGQrnesyNMgGrWdHYFkVoSaNu0D
YqBPdZBz6xgDuQ7Nwhmr7K/badrSyG3njKP4M8RlvfMJsOL0qVABjBUNFZWL9gy+rDvjGy0OUTvu
oq71KEanZlnUY7XuMUXA7yoI8LYcuZ+vXkmqA60SLmEzer81bUhegYA1H4GwX5oipov7fFDmFwyk
bAWydw/UMEsYxMWP6QEus6oiezOh22xCO/zrM/Dd5eZU7Ibe+5sBP1j0Yet9eqpwF56mJQdRI0b2
3OiCPs/Ajzwn49i5swiShNV/sHGzqRowDNvDudXS4QND9oIdd11B7mn78VLrUKcwstlHnX8QtV1/
cRhxrAMThEoAbBCDsYSPFKVnKLubVIzUixFn4+5DGExZGSY1AJ/5ihRMRNTZ2mA15wayzMWQzaK+
XNNeeqjuZzWGF80SVLhDpVEhusaKA746QzOqTrQ3IC4Z1nuTVa+eHul3lwTqMz6OAKseyZIurVbI
sVSwps6nbxghMBzGLkyup5vujM6rIH8nyVHd4kOXDz7AdwPa33sXUBtGeP7RxHznFWnaURValyn1
ST/yA8xjXvFuDQxkGpm28wZbI31NgmPR6cs28L4p6bRXB/fgRnp1fijinNVL5HQsTCuDnpCH3BHi
gPW0vSYmiU4gkEbSqyvijT4hD3mbyrW4xXqn/tCnz8bngAzD72wNTfCidNncogqwt0i0F1/KP6Q9
AKYPx+Cat/Z7RrrIQY/phy3KEbdNHftnfc4LsCHKLVGzBNtmDMNXP2ZwLvlxQjLv9uPU8kt996GZ
7XsXxToZSlH3GiXJWg4dHFBW4M9KzLivINJf09TFNduq4fh8a0SZu6oAE23Bgr6EZqSfHbBvm0qG
45blcxnNfdnnS2oHkK8sd80HQ8TbWGdgx2UUrlPuhp032SMFa/WV0jHb2kUq32QwKw2tgm1cqa1T
OIiG/Lnn7Ndi0XqzAkQW3a1HaXNiAEeBjEZzZ8R9sQk8f1dD6bn3IGhxu9lrSAvJr6nrmMGNxiro
7OSQRF2/DeM0WgJY9m5SBytH9kWxiW1fnvk+tuQ3EHU7Fdm9F36JXEr3d2lDE4rBzlp2pTo21ChB
IVdmGhfIbik/+oTGCwPY8VbTE12YxviayMR8UN2sHUrRqbcrhuBjuRUzu2i0tfiu4DedahZ+q5/2
roi1Sxa1yWlwzE9S5JpT0hOJMPZfzze+6j+modtN3f9RbDUbrlepdHVgNHUuENP8skP7PUjyW5sG
x1Ir2hdjoAk6jOsy9ry3IAM0NPYQuyqXFLWFa5vdLvbJ72PLYIKrAY5LxzraBdQwRe5m77In59As
YZL11Ajn3tU+c9hPUWFF3zKcruNQfzlWaEGHc/6h1CVrjMna0p9k8G55/zyCUqDWDYRDDy6eRyON
qq1j2O4dm6LB6MgcDu6ABbFp1bRXtgCAOueRcRZyV3UH5tIv3nyvSBGk6dUDG4FH+TUpEnc99dAT
IpATvRCM3Qim6/vu9ORwRyZHGQTU9TXi16X0oi0pUca+hjy67Yc4WTizAsQrkI+64p64cX0dJYEm
A3j2TVFYPpR4SPVjU8pdg3PkMIzVdIS84tNIAQ7VcOEpZBDMiKphKFnUh3CiEQ1qFieUV3xME9Cp
yOJGgRNnnJqZ2VTpwtnlpUJ+Qm4a9QRlcHUIXE5cdZamiMS+uhiZvduKL2W74eMZ7wLFnpK1NRPQ
/Ym/ykp6iAqkw+H54jRJumpUUK2ef6JDj10X8OsH4qUGtv4kK+SJtAh/xcbzqQwwkM2QcsRLfaDj
cq62kw96iulFADLmYpdz8EdYXNpCmGdN/NfGJmJgp7mpdQ6sRnvB9aa4G2J3nzFri5cZJFnO/1AG
c1G+YCHaMxaa/mjgIFHu2egZLSc6ERlorhSDetBqDb6Y1tbv2GCfeA6LJK8fuvakkvUl4RJJCecu
z/dtW61wW8ZnQxPxMdTGm1Ub07qd46e0zGt/tfo5qPuICmcmqcH52Ok55VGMQurG1H86KeTWVhjJ
bRZg9a8Do72FXrZ7TqC7IYphatIxV+JhZZ2+rQgLPE2ci0+aBLWHq4WBfFGwAjaGvkhGyqAqsld+
Yr5mmiF++644BrXHfV22GPKU+pWhaMVBli0rboxDYwKh2lHUNmBFxXRwxeivCUBTy9rrER53FXWu
NpxcGpAQrqPsAGK+ZragkuVglM22zadpWdNLvyJlIciG6JpV3Ro33NvRRtObYNclzpt4DpJ9DDH6
qLwD1+inKcCkDIZ9lXq5ax3n047rfmcWWM95Elg2ddJIgyDv2MSLAmR4d9bJ1V5ko3g8tw6PszfA
WmLrOEsdrNyk3UdQJK3u3N/FQwCwmRbsZbSNV0M27f75LqjMj5il/iR7m06cksnnf1+RQAJ+z7z5
Hh7jsWmS7SRFcPd6te1CP2axL8PvlhgYw2sGsu6tfMXEJr+xZgNMGpl7W3WOqp4ZVZifekNkuD35
rNoo6PbCa2ELN/k7rpHw5CfkImqC0aPKLKb5Aluw3TDp82OeCUxva+IfjHVPB59WVPmnaseeLGu7
uBHF+WxvWsLBO9vYTLzhuQa+9Z4YlrOrTSRWius65SfR++6lGwr9St6Mfi0T4YJ8jw4i5klsm1wn
nTtylgTipu+po3RCSaPgl9lHOJyjkWp4qreoI/TtwI+5gVKLDN9u80XcGXeIRuYN41/wFpd3aiJn
XZYhQgwrji6U9M227od08XxLnpu3axDOb41xMh4sT/+GHJ+rb4TTqvVsbe21s/2LT2sM0umPmtyJ
eKokv1jQVYllrXFmmYa2BxjJkbJ18lvA7gDiyAwvtWyuVdt1lz5GYCxchLxiHLZmAx84KUxQ/IMZ
rHoZWKfnC2lesGB1WW2xAv1OhjbYDaXFwZUT07YbjPiDtABM/SRcn55v1ZDsfFxssdY9mijJ/nq6
8UGOcL9MpBiX3lyOR2pqvjDSUWhVyb6LvewmguEXw/fgkKkiJ3rLOLpTPb40iT2+2DRiS5fC3ffr
y5AixUhTkW1TJEsrFskGLwxBR/78EmVQ60hSbNB6TMG5Kc9uzJiXuMw9ViPePV/Kisq3Qt5eN0Ld
fNozuDJJtQi7/hKkYm0bot96YHY35uiodaMM8z6mk7UMBGfFIsdrRzS78aXL4k1Nfns1zOCvm2fD
OUbvsTIIMjShlL0CNT4FeoMvYX7XlvC4OiJQlr3tjYcJ1Z1ozJaRuG2hc5yxh/Y0uofnSyobMmH6
8ND1EXpCc5y2UuB+aciTRIOTtXMg+jBsC6IK73bWxvegmY69VR5Fn701eUe/lh76tZsjArU0DzYW
U8xDr3NEAAvcV5x2Fgon5CP3J+8xMRxd2Jy598gYvAeTPWsHzLLlvip3MXhykk/MjnAv1AV27v5M
TWfsukjTmC6nrFyJAY24atJ3LdUrlJqq/cOUaV9AAh9z4tLSuQZL5syh51fPl2coECeVtw6WyYaY
243eQ4hLUsl2q9+BUNLzyGWBkSiUP22SPMBnuXfPsCOWu3l6NxupgPXSeHcznnLePX89DQQ5cknn
LWH95/eQM+YO15ZYdE5+lmbMCF/L9fswipm/7pSvqSDpDTR9uwWZBj5eiP4ecFWizMTYEPb9HeY+
z3NyzlWu7ZmEscN0zLG68keIDEMP9j6KOu9Efw6Rni7tl8TFDjRh89oCTx/Mtr+Esum3naWIVS4z
iVweaR8Jmx2sCtLf+QjPputGh7qZJPPbUTvlyFo3xL22BDWXpUIZ2QcbhmLfgRo73CHenCaTqiMt
fWYqDakupC0Pm1Y0gMxnlJ09v9QSqJk1oE4NKnsDuDTau4XXcA3obRkV3Fao6kXFygCZmc4czFRS
kS+pEbyiQyivVs9KZ1d0Ufpw+Kwarzs87yzm8/ss5BseQx6z3LVSJDLzlxzXUGDqws83cW1xe5fR
p8vNugPcH5wzoZnbvOAzfv4tNMvbrfNQxwJ75v+mUFnFYO2e7yefiXhvM2nvdY11zy7H96SxX/E6
OgfZjYy0xiY5Oybt1bqDJ4Bz7JSRCxqWnoPjFzYeDjVAreCZvUPv+DvF8D9p5bpDW7Mone7usyOi
tV5qgM0rQQshmXMI78TpXCWgFE8ymcVo1fnBIkOppkZjSzzIOpnEJYFCQgDSuqs+6oFGwomx/G3Q
tT8Z6oo4I1ECMylI78+Egcw45syzmj0SDvIlD/Bb21mrQr57Aax4XGeiw7gOyK1Zd2l4NTrEWOOX
TYM3L519amtLD9egt+7dz6jmsA8HwTOMdZIcyta/NFO7wwbI59788COuItu+eMFRTvuw+SyML6sx
b4wAWXDCtUH/cswlTpFfdg6gmSBEeCWLANiagHMb9YcWD2gy/AnOU7VLwE8bBG+AUeeYjj6LpnAV
vDuIlZlEjlwJgiwU0v2toEabOH6osSAcj4ozIT6R/n83iUet/tQgyQCr0BbwFrmP3bb761TjQexB
pm89g+WXLMF4QsM3kBnvh2RV+jfvu3c82Lh0yd6m6E03fkEd2dXpwZj9h8FSz7QtMjkyNl84s4t2
gnv7N/+djWRklOc2y8ljJcpuPHjNV2KREOuS28PHzza9ruL6rw77Gi2Aex/NdiXsBiJjs/LLx2SO
UBc5q84kO8bVjVOepYZRhOSCpteoWMkFpmoYMM0Jw134BP0NaMQmfQRTzWQ7pQXconrTywISudhN
htqwcSwjln8CN49ORJqCsRBltYGTuWyCj8AwmQSh3qw5xBMNxLrHj24VcjmF0T71py2qx2WVZQzq
aGsGSbyOHVqz5WtkYMvMcpDLMS4Z8+oZIDvpM2PpIxMqLmJQ13Q+XbR2Q7pHwaT57heT6hPpjyur
MyUpJ4xqOgIlJptjSLDyYb65sbt0OacstMg55ZH1IwMiogFqGcMmp5zXrJ3bUhA6nfdmDsV+hDWY
aebai8EkBjxhPVt+8pPwsCCFutB525iRybFMW1QONlhr345/xgjpoi9xgcmzoerf+Ge2iMLfRp1J
izzLqdmmkGUqVnwn2WUp6aGKc6Xs6j1Uv52KoDRwRcna+OWypw3TDyqxV92Dldpa96odVuh7fucd
G0sxvKa+NC98GusJz3K/YIzCDyRMbKbtBa3OKhpsrE24oCNsjw6ce57ZNtEu7A/FpmZjz7ViX1ba
usADayML6K14pWAkI2UhF95JXzxCB0IBVSmgHQdZsNHlziEbviyMlR9E69jjgNbUyzEoHoNb7qMe
cjZ6nThIFgkNukRCsQ6X8PVXLrRlUgoP9UBWdAdJzC/wqJGMObBiIRI/YD7Z6gwg6HhO75JZOuOV
Y5aHZM336l9USIdvwfrKS43PYzhHkTzF2nSoQ38ndFrTDlGyqMmF23PXs0TmsyVVt3dkfOwLNhi7
3zHVO4Bq2eDdR4A1vjM0BurVODu39FaxduA/zf1dpq+d35PFbN6MFdXBIgoyTMbBspYVbPvwX1EH
yK6c25AJJHQEzQJMVZZzRmNYLRA6PuhXSA1kRURtbwz0m5p6Ix1xSK3stZyQfJAxD3F0iV54kWrQ
3aDjEslEjHHef0TSxcGKmLym2DC1xURoqZXajGBocNZwzyY9fQSp8dlJuY0YZelayRilO1qj+E7B
q3rDr8H5XVT5n35KYUXzWJoTa0vn/pPBuOky0LGaduQRvDLiXMIQpFmEKs3Y+qoEt/UxTpq98MNu
01bF38T6SjpI1Z3NOKi8RljzKLT8IwrUjW3KL7obSxyMrExOA9cnrDddrIpV0wYMu+jXEQ8YcttG
+cbwaX13/kqY1brMqz8+TdpdRxBlj1RCtPkyLUy6vAxfajQ4atQWnlmvwxCPYoE6R/PWIqh2uZOv
e0LGLTP707MCof3e1pJcCQsuHjzXkC4Oa3FiqM8x4OTGScEuyYsW1c5nTA1+4yYLdTLi/K3Ku1uG
1I7H/xQZzs0ir7cyi402GKspH+hpiUsm9J/UFtskfsiO2jkIadfgLg6IQg98aLzjrrXM9ySptq5A
ED1cUSF6yvvX6/5WDIxPa28L1GVrdBkxROwFbcFUKRlKdInGzeYhUka5n4r8X8V3jNx/kTvyIbP+
XzlA4iwTmHtt/Aerb7HCB0VbMTcPxADdJwPhahhlzGvhjxMLOYrFZAf7ihYg0BziHSxEfrM/XfvV
CgDyLuOB1qEQBrnpVd1h/JEZmJzhj3qJg/TdjSLKKdYvI9oaVnMIyC7CLH4VWeLPCT9LOm2LUEO7
JYq9KqO/dmidJoVvL7xk0l16YY/yOn31LbFyyFvOE7WNde1UmAFjaVLbZAK1vGJ9shL3wOL7IvwU
HxKSeTNZ09n64Sx4GA19U2oe9Onq9xwmVTC3CDZ6oP1LjPpUltXaEXLjjO5LM6faTMMuJcFDt531
GJb4GDW6GJ5+8Bu1zMdvx2xWdvBvBKTqETYTZT4enWYbNc6mF+rqhv6jJBSqQC/Z4BkfAtJOvLtR
mrsAdS8xORnKhQrYl0lSrnjTR+CLxSVzaXoQ1CrIkoCoejIxkBCKQDabuMP7Rdo3rFufh8Zvs46B
wPjoJ+NXb9vEPPf2VUUAKFo/pJII1nGWw8lpOQOV5rAzmfFsjfoo29JddxEFbcakbUWqNOZIKsyJ
b5dce5840LLfFgnjjRiUbxIhw0F6W/5p0EPSSVs71pvCwWY606Z0GpOsElIae33vOMF8qEuW4B3P
kvB3M/3jcnpvyYsqS/9Qmm+RRTwgsLgKlrvKxEc459LzBFXsKGX7npuUNlLfV4BypQo3vqNv6rrC
x4C1Mequbi7vAwqaVhAKrIkXBMOIpMHJUnA5sJkr+sKmLhdakn+RL4j8WYv/VXbARuvv+hIrWnLW
gfkWCR2tsDg03T31onst2qNM0P5INjyYmEisQjhmXROd9VY+bBtdC/t5Wzc2NhzvJ40pQwy6ZND7
E7qYaDbseA6dLN/k5ETrtirHfY1cZTVV/e++41OemH8xXxPoylpcFvfIyw9ja9LMypcypEIKmjLd
NrJcjJqz0hkuICAklEuEjKTxXkB6EeEZkMUxm9QlC9R3gg1g6Q7FNdGil3IoyBJOrXeJGqHNVbJQ
JnIrcl+D3AgWSU3mLbz4g93zBcqe78IuHhmq7UXPRE8O2t4Lh3JtqZLjCMkaoc83MkfL9hFjb1vU
M4nxn1t5F4I1/6G9IrctNICODv9D2Hn11q2kWfQXESiSxfR6clTOL4QkW0zFUMzkr59FXcxg0A10
P7Tasn0t6RyS9YW911Y8vcjREtbZbBExlOKtC6LnsC7exOg/khFRmIs9n+tlJOqesK5i3IwTMq3S
uU2VB2epTEdYigWc95Z3n4Qk1PHM6clTigjBQUserV8axl+L5uuP6WbeekxOAZXQJjFx6kwNm0eS
Gze6JgpEODkhXB2NZ2zFa+5aZ1Lt2vUJwfEbrDvK2xcYjdjym4wzJ2OLRFquzCUqFrPM1kVvapX2
gGer5N+p+d26/oLCwTUVZxvLBjshchpKFblbh1CkyG1/KtQNzEgogOQYpSdWcaNF6IIZOmiSewrd
oX5z1bPXG6ikJlTdOefREFf4Cgdhr42+Y+PqvwZRZiAYhHpv1pepwmGe2DZJTFRfSDgyHj0hezjB
PiudoDHlrFC2Wlj7oMgp54FgrWNWHSRLjBtbZS/LKtmehblhI/xOxCrBFk3/pvhi1fI9WNF85wx0
ys6Q/k1ikg6zue/2UAoUlqOmSD8Kxi/kqR5J9JPraSa7cqqPtqhvfxdxCSK7anYIfmVrZCYfjQ1B
GSkzHcRgvkz1dM1B3KPBSqg03DTekPRd9wm3ZOHY69lov0q0+aH8Qw6g3ybPWRiRosZ/wcaY4AHj
LEl4Lt38s4uGBz1NF+LV6AwZ1SWRz7PLWKQOJpqdpPbfjLDeNWzPVkwTbrVwfqoue+cxd+jUeES4
QYkVOmccLx4z2X5f28PbaEUTM1vzycPiwx9PPgsr+dyNHhIyS9mr2JSUbgR2l+RVkRzPtJCh3Vpk
5ndhRU/LvG7lmqbcJSxru7b+owenWo0IwI8KxVTi2IBrpnureBJjO4NK09um9L9FSK+rgjuL8AfQ
hfD6sF0Q0I5EqM1PXod1B8olgaSsRV00BoPoW4LZvNupB1HZdw+acOr1QGrIGi8fO9Zr2mGFTGpu
7Ip5iWbO26b5UYK8Gd3p1SgGUvtGC+ieiIEalUslojahGTIqQfmXi+JvP4UNTfj4U7pflWWS0+g4
3aa22z+e3LnM3irWH02WPquE/S5LnY8MsTNKAUS9wjYQkcWcAp79NSlyge32JiVvDbB+Hp3Ureey
1OxUyp1GDFEWnZISAQgCkWCl5IzHAnGW6LOb0i7uWT7pVUI0XJRyDVSNu+5HFouOIZ01mvk+o1AO
eQDkzPGJrafWs4fuMy3/CkVsKCcw/mFM1yuN9471CVTM6VTmjj5PLCx82xjWpIWOa4MMpsk08Xl3
Lx77g83ALdbzHCBCjuBv8nu3vcOxXtj2KrX0axVQvNlhC3QzLPehmj5Jk39mb457qP+mDhnX81fN
LpiuB9YOPMwvIf6KuOdqFrO9Cw34WEL7h0GRBuIUWG80eViZLj/9wn1psYbD3O0P9kRlgewzXcnZ
vu0kaq38yaubrbpPHOx3WvKIMeOcB+MTWVTvfdK9BPK+bzgx3fwtyyL0IT2sBLJQKKeKHDJvgyCp
pcROxJ1nOMxEGhDkc/qqW/NkJMzZmStjyWc9X3uCsAHLY45o31bL/6AJrC0Sf1YFcMkuZiMsik/H
pX9P7bjZBsRxJUtYGpMtJJdxedeFzuKfujUZ4ZJCyVkCHgNTeAzzY/A9MHDqPI8IXBEBGM74MeKt
HILu2sb+KRT66PioCjx557TR1ozUITGK10DoEsn+cDRHHB+ARNPh02rxwvTlYokn7XMxl8AQXLd2
u5lNP1gmCyudY7Z1dPeR5Mm1sFiG1P0HT8lhmxOXWoQuOkeJSClYIpLC9zggshFBCqlAnsO1a6Wr
KvYPrpZ3WQF6rTPkW82zr52+B994d7rpOPT3VW5cR8IB29R9jHPjK0NTZjjPvcUAwja/Q0wCg9vv
vJB1fIj6ehyZeOqazWyNv4Eawh6fE1M8Eb90scL5AT/VJcaYuBrJqaDD4a2G6HdoAntTCRTFRkqj
WhDDM3hADg1u94ZDfaTtHuADD3iIuqki1EowVXcT+YCr5StTzkPmo7CFdjCshlodCyWtTYJica2T
bzdhMx/N3bCpxvbFLZtbEZQIitzyzSzn1z6+trn7kFMl4rswbK4Vj/zG5SfSBbG3TRL9kUQfsRAg
hzce3D0gbyxLpvFoKhbIgJ0ZmTZvtD2oykj0oeCINiJUx3aJI4ZPwVqpvhG5+Zw03dvy/1S4L4bu
mCkxPXPcRzcod11nvmDX2oZO/DXa/UdRpMjqCMvzDDQkw2BsLCKtCQS7BLn6MTj365zEckI0NmNB
i/H7M0Q5Vs2yvY8QU5J/ZsnxOvScOOHyOtMkPUY1+Zhtf+sP4tra6XECq+jH+VdNwSBG+y600L62
7baOqVQyWIeMOX1ywPHA2pqzkyFZmQxPRl5+27yzoAucENh/m2Eo59B6lAkIGDsDQL1c077TKxqu
7rREtXEygmO0aHBscfD1fdIaJAXn4i8LiFNQFwcD6Y0fpQ9uor+pNxgjzT/LTd5QeCnxZtcUSFOP
a7pI6K7U19BH18E3v/sURGjZEtGRdfSJCAV0Qy7F4ljE4Ak9moF13t5WXG+JLr7MjpIrVPfwnXdd
yzDLnC9lSFiWKs9l/ZbMZrfGAIXOJo2ftOQibOT38j2KwvoTJOFnEaZHSODfnmVjf6IZGa3aWE05
aetqTpjLdxszJusrj8ZVX8WIX6ldeRBnf3xvm5AK5PB2yXB8a6R74g29wXV7tHtS4ZIupLQaxl1v
C4LXpz2K7tM8w8SNlrGcbAjULUhiY84lRcYbHysa4kh+NLJd2xV2md7qyLrygquzXNJekFGpWyjE
s+vo+6yZyXXM22JfGJgQ7MEiFsJx6N2c2zGrf0zcZLhqrTdrZHdmEhBYe/auIXZonUjgUwA53lAv
MAgsujfbUz+jg+nBxB+8bmtCR3097ZBTjWtqvXOPeJYd3cVyxwt5b/h5befejpkd92Jw0TPw/igr
TOCQtbeKGXuPu6YicW5lFECCdcgrX/niIjIXqN248IYr/xL2YK4zwXgNpIOm8GKzjcQHxuMq0LwL
xQDivu7QIRLownBsMjZTT8sxDuFXLcd8yywgMd1iWxZyXI9O7mzngM2H1HPHwBSdm6THJmu3brCi
e9ExAwo1BNugCoadXZ7JmoeAYl2jJrtz4vrTisCLKlR8m+gDF7kkONtZ1QapicGA7mGw8WvmAmIx
JYrvqa8oN+7LjkdRwZQZSVtetZKx9a2XVP2mbWSxJoOGuZxLSEFyk/vp3dAtJEmH2FwlnzLliz3g
SH/XiHkhl9BeTWP/3HnSWg3A8rYeK+azvbggHMM9lmUenrpc+Pso72/iuXL2seYw8Zb4Ey3DXcW8
bx3kR6wNNEhKMPRnHYj8sE32DkJiIbry3OiPKVucCT31QVDxlYzcOI5Nco7GLqWyI7R+lh9zKb76
QPacJPwdczpAo7G2uqWok7EHsCsUazFbBRFj5rmSI9CGCdfT2KMuZ9g5Euq5zt3ob8qCdeWXOK4j
5noiGG+cgGW2zZYj4O9mbvMZjjRuGqEtJRYEub+m/8aKn2/uBfyOsYZ4lKwNUmhyu2jwVubJypP5
h9uEL+hwsfBGM+C3qNhPalhGCT4qt6pGvRff2gH6g66ls6p8NBNs76oHJlfWtmumv20B6D9m9yyY
9vKyqnVf+cMK9MnF0cbIt5b+oHWDKVYcQDCSk4NnY1W4nLvNuJ3GAQU9oJCVVSU/oJd4UBXP9uSc
qLbpxaUut0BT09Ay9q0xnZpSINzKppdooQqO2anvKHyKmKbLaKoHdKXI2nCZaS7ElXAGKIIY7/qy
p2xZAAvU1Xgb3X1mZcfIovEynICXm1a0wJMTA8uJWaUiDqekKuBZdSWuo74ID0SDosJXrwOC/ZWV
ma8u+2MJ3yCICLG0CeZbUMMLag2VixzpUmQ3rKyQpqgZNuB7WaG5x6IKL0yFriY67Wr2ovWd2ycN
51T22YbTyRLx2SU2NBfs8+3mvsTTFtr+RS/WH744dBmmCMzdnG6Ru7qg3XyHoZIgO8rlRLQzHpUa
8BPjhP427ptm5WT5XYkCjTXJifhTYFaLrSfOzE1qum/Y6r/8pP2hPHwHWfqFn2DtYFJMEtYWCeux
fiKAsRB/PH62JQHv1HWI/Yq5wlzPqE1YeIxyVIteBzTIwfQ5IP+ADHCnUZ2u23m9CM42v3+amOY3
QzW9wngZtWzA6ogFe17zQzSRu3H7ntn6cHKjBDcWgsx5OZwKL+KxZD6jHf0SpZVuItCZbp1++pFI
GcC9K1UfTF1cQmPeCqN+QlC2l9SJ/dhctW1v5mx+TbPuVS5ZYnSPeFnpzWm30TGPj7XC3luMcEPN
9JQzROQ2GD7ABe9DXAOWZKjUDdhuy1iufLb06z6PcRjhM1rRNgQRZl33MS8Sd+V4GzyhYtVo3Mkl
t4rZ1I/WDN22m2E/+U7B1GS4a5o9ATEzf10dyz57zIr8WVqIE43lBRxsFO2cvzAKiPXNkk81E4Xa
oOnEaZmCoVP3bWu9hHI++I6+m83KWHXWpcrIHUWmgzGqxAfB9t4d+CdN0b5M7rfVd8Gqbr2npooR
5Cj2LTIAimfa55B7LiQUJGSm2jXdpS+S26ocOVaj6UpQp2jUI4kbMT+aemiG7qTb8MywCOXCS5AR
ZKXw2jiJ9+IMH9Wc3NpueTakfiLy9mJFS/xytzOGmRdjAI7lef2ntLsP2D70fimjmNoItpPPtMjw
k5ltY3vXQA0sXIpauB7esk0ztH9HFcE93sb4eNUm7vXtLK12HaXipUZHGzjmBosbEdcE1bJYoYgF
O0jtuzI+pKLQK/GWMCJfqRhkYMSd7VYOddgYvqc+QSPmvT0ojtw5KKhb82nlvxeSWTzBtKR69txt
CRC85eJeVmwgxR30sez2mM414UNaLtmx40XDyjjpwLvHqvNj6ura+uTsssjAQv+UNqznWOegju1s
Eq7RWcspTTCpeJ8AzJ7TvudxuLyb0OLgKujshaAFdio8AFY+TziG3AMuHq96wp390XVRe6wSlDjh
QoybxLxNwy2JRv4Wg2e4ghF0aKr06lCC70zf35dTfCbxkxOppUfKUalq2FTuW1pjLSC8YtyAo2AG
svOj8GY0jNPgZcyePfOtLvFAW6wm44+saW4pg0l9TamRVOKfrIEVHic3R6O7t5z8mZT7czikd0Bl
AK1Wd68FYYr0rhXeuApOa+HRh0U4FIO2f8uErLdWS+xxWmviJKf5A8XzE9HCZHv21nfus0Ikyoh3
3eSFGUqKCt/d97DHd4OMt2VYvwCCQdeGa+9cYAlBvWscue/2c6G5B6K0XfUcXZjAmA/PhGrb7jc2
1a1k7GUGBallzq60BdKA6VP7DGldUqr7xULb2tWdncwbnbloEmLrOZUJZUsWvTGs+uSG3RsjoD28
vj1Dq2Npe/oozf61c9P0MMY1zgAXRGronaPBr9kHItJve5YsZkrcecY4Ecv6aspsfNyF9T6H/quW
FzdmI212iqmHNh79TmG0SykfqlMzTXd+peJVEBCp0cf3GPaWCXL4NNe7YDZ/nGrAceHwruVzta+N
+ux1/qtVgEnmEhpKpk+14N5A6XKCXH9VZMnnfWETRYLOJNc8Igyn5xmXsPS11dVQyW4qi+0MKYne
tbn3JvMcORxD3mZC8L4SQMsH/5mcerJvfGQVbSU+LQRNSVZRWUTDj+5gGC4YpUgMz77VXYeB6L+e
r+IEkVqZnshWlnvhqcrYq7b7levjcalN/YbzhLrf6u/73F0TilJuqzB6HTv1EFjJGTHWeU6puuIu
W5nknyPIa1CocM0gGWXIGF2nyqKJTBmh5Jb67nsbGzQeAFbbboQWExiA1U6P3ux6ZDrfEKB5PxA2
yj7kReP1WmOa4rouyeNGDIHPt/2AXfNhTFuN/HmFl8odSAoQZNNvWk/g+/PQe7+kptoELgH11XCJ
0uwAeLVc1wo/iwIsZRlMyvEXhSeirjixQ+qK33/GVK9TZoI5J3pBueV1jqyfjp3FOp7yD2YbgJiG
m6m2O8p7PDbJoF9C3z6jynMLXLrWaPIq5OaDF5mIXhl4DNkZ/B5IPobZVJztJWYguEpktKR4njxn
OuMjT9Z9hqlAmQbyPIK2y+g1LhufgNTToAb8TvqVheDtVBtfaN7oSlAlBa89zvQ4CB6QWX0Ojfdd
oSeaA/knek8smmljYu6mBe5T2wJIOO7dPnsz0Z6CV+U68MCtAlD7SjjgEYwnZ1cN/hadeLiG12Qd
SPdLqaSQrUQEK7xmmiszsYIncL+UVO3eaThfK4vVkym7P33hv2jXpuBJLEEt6e5Ujx40w57RNc1X
wJre6OSmkfq+68e/LESuAkAMIJ+DYVasOOyK5bQ+ONb4kGZ1wUlDEyAn7yw0BWQHjBsv2/jAQs2g
C8MlhmZHI3BRDrG5bvleUP2PgeZsnXCDG/sixqniuw2vQ6o5ZIxqr0Y65pg5kmz9a0O6LWbbdAUX
Um1Ls0tONcvsgY7qIKLq0dXKpi5XOZIg+FTw29l2T+nG6q1mpcGgQiezNnzvD0VRohSsqwdblTdh
FLJGBrST9pDOQ0Wiepk0GzMr6nX4FXgos9KKIDMChWKK4PJKLDRwishZhC3uTZnxVOEqrijCCjym
U03OQ3lxgupjrAYshYJqfTbLI/NR9rXQ29cBm+G8qa3tlPFQzdroj9uhzwZ2Xq2C/K7TLv1mhLYQ
7z1raYeAXuDl21BlD8LwAW5oe7HKG6vxgWuMh4VFB8N9R6I7wPy+X1I7Mg4mi6xr6h67ZD3kfWlP
XhPXuak1P2ZkuKSf9gJcdbE8ZXqgsxEEEkKyCoJ8256JImAzCkRTnkSSvDhQNdkqW/yY5NOuDfTY
q9B21/Swh1wMf3nyQ9SI7k0zADWUs7NYCNizyk6RwU47YuKFiyadab6GmZsfABEa4M68spU58JAo
MX6s7IjtNTqbilI41GRXNsbOjbx8tTAHd6Jxm2tL5teqQ0q1M9NuXyZ+tBlbAiPzEYJZpG+GPHhr
EzPeoAlvEifYmk7Zwgz0500NPE5hGTw29jqvU2QgZvyUBDLbpoXYFA6vemgIVDiZRmntmwGj8jFE
fTA325IhWlDAXqDYMiB4eMwTmXqh+qmfFB3/mcNlFzvq0SC5bG+SEYBGpDPuGyeEXWcmTJuwasnq
yWagdU60wPRdWGqb6QYXXOoOh87jWki8sqbrk19ZP/QkecuKZjCLtzJmNS3C9MLir/SHewr4YGtH
zp+6mItt0Uf4Q2LzwYrldGgbbgOMKaSRdR1yeFmhsFMz/Y0fQZSrbwuzYjs8MF0IKe5YzZ0qPzdu
ONyr9RRMMNOW3i6cbmXBejllqXOiHljw5cSCWYjQvDx56iUDDGTwzgaQDbFRLfG1udmzWjVBlVnG
kdJqNULhWXlNW7wiVewYrUKJ6mOJ8K8l7qKf5u0Qv49IzU+ZSVAX9fY69apoS2DqfEZ/zRQjU3Qc
gf0Z26W5duT0nqgyXzF3GrexmLC2TOXZNTatWcf7QnVcwpFDaom0U7hYsXrGIceGw86iPYr47jJC
FF70wmG6bSsYSgA96CNajD0saOs7N3fmVWVa9l5jcT4aDUBdzbLw2dfzrvesG2NW+Q9Pph1cHfmZ
jjVhU4UermGRfSd1x+iIsKVnyyKZ3LBGdj3EBv/zKXKfHF8QhEHgVNfcNLIHpe9kVE9vkfbfAvu9
GX80jNfLP8DYTL/h1zfw+T5JU6AV5zS+9DrOj2B1GSlnsEYrr03OknErkoOEFLuw1C+Wl99HcW+u
a/6ttVlp4/b3Azp6dYwz6GPYb1fIw91nVkfVFj5WfWX9zZBOO1wK5Xwqolxe+lk6dxY+ZGBT2ZtI
5w+jIdjGSxVyQkUCMo5f+/L7YU69FKlsuStC+Tg1au1BX0FnpufXZqZPHAqveDIYN7ja7z6DO4Ta
9XezFIxO2GL79ecJMFQGpmsI/w6eeRvim7jvhgDWazHd1CHYq6J5oyBDoN+71rNRe+Hh99PMtvQe
MjLPw26WR2FyyFg2wYpU6q23S51GHyZXmYxHnauYMn0s3Wq89qFK10XbVYRXDODZZHBENYRuFXvL
e5udA5iO3tIWsKtOV44U/qX0wX96HAeMDKnCB5MA+BSmzsrRYOrRHjs83Yr3RoOuAUjS3ZizvA+k
Y1yjAhNcOY7Z1WyGBcYYmewcfHENyhA8gh2+xSEUlCxTYlOlfbXJE3rkJvajpyocH/XcFJ+TQCjf
+5iSrLqcbwQpciempj37r9g/45ZA8JpKSkWMHZ9EdtzJNNf3qpqfTNeFWtBxWuNhMDm46jHdOpA5
d6WF7GY0YqR2I+yQ0mIM0dmKei/1SD2CpZkGab8n6Bvymc+IPNB5cEtCRXDLygT7aomyKWi9YA9C
7KGUbYNezkeRWY16k9UwfJEN9FucAyUL8ZE4ZhnJ784o8xvbCtXN8H+/ivImOFJ0/PP7tq3mY+Hy
iPTKUZ1VjqXbFqp5HZhpZmab/gHY+wSIF1mBf85Awmx5rC9wmbo7zC7yEjC46qFE/LAddEumXjgn
wDdi8tXdbj+5NcNCsDRTGo9HWh/uRgYDnPyI2Bbe6ABMh6wqjrWRNXkeW69+iKA0YXtN95ms6yZv
7zCtVEfueoEY5kmHbXknm4qB04JhjtKnMfI8vlICO7rkh6mC8l7Uhf0snRGtaVnxdxp0ESBptwZd
1DVvmdIGI7NWaYfss4fwpBab1JjcpFnDnxM/czN2CQlV4zjtvIaecgAhExnpKeWgOTvBp45HMu5a
J3kKmRKSccbABs/YJuzIiMHz7pglz3R3DHcBtCXmRSa5CHW8jWvR7UahvCse4GRtmzM+tyyH7QoD
gmye5ZeZ6/6NI3XGgTgdPDsfXvwRKlU1yQmi9Dy8OI4BTXlh3E19coRSVm98+oHnqZwWwlz7Ggym
sdWImvd+FuavCCjdTCJnFKNc205NhFUKmyWTAQ4TKzhUgX3vLHYXS5XFPurpPpqgn9Y1ywgsCROM
jCHapvzWuW9AHKYT/Ma0N6aLF7LFMcNpw04oOlma9fqg2mNr63T3+/Zk43duj/GdleR3TRk2xCoY
xJJGrni0eWhsjDorSU24Rh6SNBBoGt8HPKeJovTA5j6aL5Osiv1gWEjFx5cA49Nj0bFGifAmH0bJ
JMUzsnHDAB/T4BDeNiOZB2FhBOjvfNANg2q2XeSgu+qM/N6qh/OI4pl2pGAnGJL3wHE0Js8R/LiH
Ca0SWGXrk7rIeDYTvj/PrI+pEMZ+lMrn7aGdCacPXW3AZJpsyP/XACpcLjMi4s5NvHgzK+tReMhZ
5qY5AHjCO9q57n5kSH+0Sa2Y0I6ZUzjg+0VvFACRPkzR/BzgOd8Ld/TOzA36XZ1Rf1fYMpRvB2uH
vNhZNsnVlcVb2Gf2ozMRNQ9Lm4jYwMov2q+Kyzju5op4px4Ab3trPdMWNuoyu/a4j8gZORW+DHCh
Fy0khmG8c8IKT4XrwuqjRUYUuanDhmfL0sbWCLLuB8wbyD+mgg0VaS3k5xkVUiBC7GI6Y2vrCEYN
IVtqJDVTeZNp6xF9fbb/NT1VBWodMhjvf/2+fes1tzEortKyGKZhZortqd73BNpitDUXVymrzHb2
UOJLLoFSEcYaRNXewc/MVtW9W8ieO5fIjEfRMgMIAmZQhk3kQupUJ8udnQtcFY/mWrOLDmmt3S67
LcrUO4wTE/G5o/yUqj5C4SPjJKsZYKBEFgfPXaZpOWqhXvcOO+2s3A4LY8GiGVu7nhmcfj9FxXSs
4U3eO041Xrxc99dClPGFAeQakWcYifZ16p3pGlV6edVCccGeo3baKlE/EHK1sVokMEbB8kZO8YCj
mHcYp2+/V3HXn3FJbIH6xC9lCUEmj2DmdIkdvVij8cOFyDe6yCSiSA0XsFxiNzHbuw+RPII3mswX
Ar6PehL7cETBXSsvexyT20GUIL+VhzyTKaa+5G5f7CGB0jU0YOBIMIDgCRbxwQxVdGV3/dhEXFZW
Nk4XZirDUVHoIFa0mWP0GVtBnex8x+ZJNIB5naUd7YJOZesWJS+45i5/EZ2DDHpod3btMFYy6/GE
NdzYsbG+DRdTF6M6e8e69OeXsdTp5kDIy0E4cfbqk8ZqjPNEbtSmM40IXwhRejzcLkm1YKf1yPdH
l1R24TMUf+8BXrFDotjjIDjCcquyHuDK31bA6DiimGZ3JVQyP9gJ0oI3vcB2qRuuibQEnFe3n1bt
lbeG3R7mmJern78iAVLQ9fHl95PtHpMu2tfLTR5PfsKArfEOEmLwXe4fAb6eJ/ZU5N5gu1CTIU/g
xB5URT1kDLSWTs84XGXt8FQENuik5HNuRPOKoBKdZweALfdw+pQuSrGEuDxsxwheVLvvW0YKctzx
c9nXXzYNPuKQYxclfuFJfHdmEl9/f5VI3jzGHG5aJc+tTIqzYBiyQVKSf1D/vzJQukxs+tpJwuFz
NIK3nkktj9oog2yw8o05O41QPB4JS/O40hVDWfTWbQG9lcHNjVZ1zfEwBbBuID9Ho2xvusq3bkYJ
0jsMFqMaMRCPJOBxe9VsIBxwVC1D2pVLFPCD20w4VooOhFCTdzDFTYwQaZh/EgN7ycPPgUl3GbTQ
S7yoIH17UcckMUrc4ZwaDl+ALtdfPiD9VVAiehcDCJ+CFSEGeSZRBPULFFBVfv7zPF0eqm1UjseC
J/JKJ/DeHNyR287z3UfcG1Ai7OQldwyH5YR9kCzxNu4ko9MUpCnwQ/+ms7OSuKoWsQlCFKa0GrDO
ImUJyr9hFjh7e+79jd83QFRN4p+TXD8VTOsh/duUvlANkAcP2eX3gylDzNsT4ZuDW/QE/EyMylh6
vs8VO6u6M+0bs0Iehavmfeoc8T4ho1t7aHhVXcH1TX8PREIWB4R9dyr2yAT3h+YNvOBLMqXpp/Tj
vVtn+0Xx9ODDMyDxGlk41NfH38/mxR05JuXT72cwqIHGN89VTV5PXTeaVrrI2VNWbBvjQj915Mky
YMEvFjOTufdalyXhgpgygqVmipR5zSUxd1RQGWq63EebVZ172VvPNdNlyeT0EsTufB3STFy1cv01
aop2w1iJJIhRZU9OLO66xJd/Cebe0Mhi/rwPXGP6TDvGq4x1dohu8OPqMWQvW9e8CMuHAknEeUS4
j6WqRh5u1effX4G7pEhIRuC1/D5pK6X97kK1+0G5Z0jrB/PONwvQ8I5jKzyFsR9eC7N9BaAnFlJU
eB2HuGWxWzpbsGjpLTAD7zgPzdO0fOYjBFgFkvA+saCWRDb/YQxYvjjWtDglYveQekn2qipQRoBO
9I1s42cglzSfBsT20ZDemz9lz5TV2LmQpSRSGPeTKVgapEtKRyD5NtgHhBDWcqMJz36suod46L+I
d6KQkLWDljET598P2fIrQy4SIaTTWztoYS7PrCo8q3EOTiHs51oZyWaahXP45e0baZVucgTuB5US
pz6N+hhC3GRzGHAD5blDeJA2L78NhNmyX8oqTXJfMNcux7RHQu8k0ovdO+PDBD5EtDgamxwslUja
+0y12SH103QvQhPJ4Vh+Fg4i0Qlix72fOK8Dy8AV2UvyfZzUJmsTqCdhaZ60Zfcbssid99EsEKQN
3b05mc5Nz3XASsMnN1kZ3Q4zR3QbNFN0Td1+LdgF3v5+yH36fzcNGHn2xt/MCwgCKczuHmqd3rS+
ecsVeKFQnW6EzpjuEdDzRWIi/wJzuiyD/vhbmhatB/yBRBtjhmVlCOuEjiRf6P9M+vPp3evq/xLW
8m8xbLa0Tc+UlEMSLIVYovT+X+TEUM9hnDq47cHh+QdHdqcgMH/oWA18CVju/nOEhPVvuU229Gwh
uYYIQfd98S8BiB3eVircEdcNhodvAOsrx8/a71LjsUlAsz9MQxDvY9l+VC0KWccGyjj121qTcsjY
PPLvZvaOp0qb9jGR6rvKFEv0SAXH1CFhxwq0c1/NY7Ychf8lysv9t1RB2/N8x3PBlFi2J9x/SQod
0nzwmF3366A1LwMvzonWLi5lc0fVBhlGBTbtJzJ029jx2tlgR6vXqSy768SSaU55CuejrNc51nok
77Wxk65jbmkbQ1QYd5MSznvoar2pCDTaahVj05JL7jDMuCgek70X6x/RMKx3ULGuh9aw1nloMOJr
eDiWrpzpdIm6T3VzNuYqWA9eEyAZsi/S8sIX1663qnR3Sc5w0maCsKXM2QVDODARxAjY6aWQq8AM
V3gyKWKFs8sbETLXT6/SJJEzjsU1ITV3N6SASOsSQ6EIFDR/3eMcN/F2/+erxfzXuBGuStt2LTIz
WfTit/6XNN0M3YWQQ0Rcpkj6y9h7ybHOsG+1GZGdOkHNL+OcUTqkM7iA5zKahkvXep+qTEHLJl59
byqiXMMyY/yJehOQ6OAeEDP9t+R20/z3i+N/CDuz5caNbdv+y31HBIBEk3i4LyRAgq26kkqqF0S5
vI2+7/H1Z4D2PXeX5JBiLzNUsrdNEmQic605x6Qby3BZmoZQVc16F3+ealCDNIFnQljalRfFVioO
HboOfbybMLxh8mS314OVu9PhrflqN3Orx+WTF7JFVFe4NHHqR5vcr31Q1YztMqZsQ83xrq1ZQ6pp
Hu47KOEIK9AuhtnyvbGTZVNA5Hf7glkFBFrryC6xu9C0kt9CLaFZizDTgt2LD7m867uuOJhNE+8R
6TnPbVs9QX7qf2VIEXX6TOm1XRLtFUFxjHexzv7Q0aPpUEoGcz2QBwQBzjMndhnpp5YY0Gs39mxB
MG15Ggjfe9x0d3oXig0dDE6obaA+Jpqp3U3IF6rGjWQLtq9UTzCMgaLqoXKUS6UcBzGHAGbozI2j
ZIqkSOdoKb16yMd4RJifr7MmksW8uBWLCzyhecTG1rgLXgMRqBpU8Ly7Zp2OoCTWEAjgD83Ke11t
z5GMSR3vA+2xa6wtnTN5GATSG/wLBETK+FnUSn3Q9SijGXakNTLtiZ9hKxGJ0Qe6YXhjSKffUdSK
Wyh+upDV7YkQWVQJamSA8ecnlD79HTc1uWE/7itSFifIZN3p8++C8T71ybCEMDTNYokmzdXQ11i5
/1qoKyG0Hu02MOZc/QbmV7udnbwWRBZ7dcyv/dj4AqYsHrsg3qXQYTcdpx0v6etg24vQvpaKeYnB
v8Vz/houaKrl8hMqxbzG7sR27k84wc9zp7jgZ2jpk7FSdGpwNxHykatGf1bi70ILnHvM6qKvHd4w
dXWdA6WKjFj/0SawH+wjgJlXxQSMPUiHPgbQdSaxYfRVjt6/rQ0kJNnEi0GJ5Ob1+/tBk5B+J14x
ZMLRBP0i4lwabXMn0b4FdvVzpDl67msCIDncCA873qEhh+LOWdQnq7B6rxyHjPNc8gPnGe3cPmdU
VAfii7Auc70plNkclsXhz//7f2ydy2boqrRNSwW1LtV364JKQg+8YfSJTg32MzSc+aiMA64kw1a2
Yzi+OhrClCDqR0yqAO0E6sEr4tiTBa35bPOJ8GutH+mUD9+jLJxR1anGFdFu4qpEVgEe1P/T4RiA
PQkKY3LNiE+j2c7Vt8E6qsJ6wcKhYJLnVh6r2nPi0rzUdoC/FOCu98ECSCnJqodEZU1SNPxpdWRn
P7ElwpFKCVSoU/sxjN+wxlmHwHFiTLhack2N6DipRvFXovXSVRhyXT//uN9upu/fNyF0llTVsXnb
3gU8cjRNtCBIS0wnTOFZRls8y2H5o27XzKt102+OeXDINPWkc+O8cLQ6lj9HkO4peplEbi04JXQe
ZfHMuvKfMnlL2LbqkfmCgELfjsOu6ImtnjtNbuiS4oK1A2db2VJ3JflAR2vEO9Oq88IbZgbIRTAy
O/2b2bQor0uSmuaB9DKNJ8jW+UdsreET4d7OYg4PTcdqDOTIm7UB4/4AiiqgV8A8TuR7J3b0faAR
Il521h9lIvqzpmcuH/LRV1WreOGQca+kWnUfCA2aWnHGKtQ+9kN8rTisbz9/n7V1w/X7+0xXxtQl
Wz/+0vR3n8+q6Ixmhq1AnFK9D5Yy4gzDQRlqRm8QtAJv1NjpQ1bB7QAaViyzfjAm8w3yEWjQVtE5
52Lw++JJffzSGPCPCAXmGRmqbbzbaQ1J2TT6DIQhsbpDb9f9JQWwfghpJHgzERR+pPXTocqSDqmk
cRjn/vmLZ/Bhn2rxxXUszTR1IeWHVPiuU+Ep0svaZgn2OAdKMhaoAPoD/ykD+c2+NEzaZOlw4LDN
fSGavnM28QcSs3ckUYkvLtPHGFmLmC8pVGnZtqORJfv7aid71BN6FpO9EfWXyBrqfZH2CZ6ezH7L
GiDqyCYOahHnF1pm3+Dcad9BhkK6TgzzkiqLfQT6+d3Kh+ygGai5QBlGO4sEEovB6gkff8Tsx4EW
a7Za73VaHNxPw4tmRkT7gh4XB3Y0cNEYmpnBY2cWyl+yvnStEb0Q9fW66BOogzXthGRFBf5ukp2n
sX+t1nbY7cGxQYTklqn7Fuy7x0a2jpcs0X3GKfMqiFzaFOoUvy4CeZzS9uPp1p69PShx9x9D5oE/
ijY8f3GdPwSyW5bGPZsV2uAbJuW7j7+ZihgXDEPtsBiLNZfQE5NoXyQCkgPw78XFrTts9LpyzmWH
X3ee8id9HUHKqOBA/cp2PjICyIwMWy+yT//4/PmJj19PS7OkLuEzCWmzIP5+3RWify0iSNJtjRL9
Iu3yYVHb3oumGtbo1NO87orQbWL5Jx2OficLsVrVGuQEa0jNVJmDZ/XcfGVOom0ZrgZt9qe3B8jF
qENntfRvf+zKlxi8ntCRendgwB9D+dbkgpVsglQGp8s5xBVdndxY4qut2idua/JKp+mLj7r24URq
WULXJFmlmiFYb99tdCxOLqoQdszgIz+yQCR3VlA7lxHqb3I/4+Hxg7A8F2kbXCEnHYjcaU9i/ccm
bfmJ2fMV+wPHyyl7+OJafNyBcS9XbT4xtmrg+n6Xu4ldH4c7TuVtT+f5oiitA2AbzaogCYVvp+4p
kTGd+UouBwf4kVvTHuuKNzWHK0PQRXWOlnk596MqrigvCgCKsbFtLGlcwN6Yl3XES9fEDnYFW9m8
GADgLNOPpB8Wz8IueIiL2HycWhubIwBbF3QEnBGbnKiO6cznr1X/+FptApZV7o+2SX9AvluB8wjV
CJcbx6yNmp8TEzu5Zu5eloBhQU6oQTiX+gNdbu0hS3IOt2Xq2nzbN00aPHG/IlW1LEGpy9QkBRbQ
iDEvhx4cKHxZHky28nTSDEboDhkYnz/5fzk2WibPmlRoUxCO9j5Gs24Mo2WcEG9t3dqS9UZHttMR
YOm2coeeeTf1jfMY1WAtEfSdpogQcCd4TXPh9nHVnskTE9dx6jAB5Cg6UGoQQ6rF8u7zp2l+ODKu
a7lqqDxLXYe79m4HS69pzo0YLpijkqY5YvY8xUQIboY57L2WbKED/bbkIgN2XnKMHqbBwNPT2I+0
glT3xqSv1og0rP0xsFkArOSrJVs5EvMYc+M+FQ5DjbLDB7WFDxl7llqml8XE89FhbLA9PW2Swzhp
fxiR3rL9DFsyF7bYBgmIJVV2ykdyjqP4WLVLfaiHgTR4TNv7eQ4ANDeqzscSy70TsaxYakS2hxwe
HHNbEaP0KgafuZr6XWErypkCwTcqkH7/+VtorMvz77sXFgjgV9IwdRZJ8e62aA4tFndZFFsricU2
skExq1oOaC9qo/u44Gg0cnSA8jpi2FfS/okpYUJw7FA8Lv2ib+awmn1HGeKHUUfnrCEn4gaVorVv
Eps9JMDm3UxQ484ox/Kk6ymzhWFInmXTJDtVOstpGHAxO7VWagBPtGhXhnSrb/cynB+ONwaFDlzQ
ka4W4Ai7HaKb2ih95BU/b38aE90hES2ot7m9QrobVfMhQiP4XvedIRiPzedv2m1L9/ubxi3WIObA
5Kan2/Z6z/mvk2QSTOuUsmq3OT2XnVTQIFTN2lhQI9vtEzqPWuv0a07K8JgM03yIlZbAOCChdLss
BtmOeu7Br7sFPEgOIHaG3oqpX7z+pISjsslaLfMZfGWXuphAKQ02TaxpZj+dP37+Ym43wN9fDJob
jsSGYwmQfPr7F+Og8mAigH+T2AEUSc992aFL1RnN3P5YlJVvxmF/XzsjqU2KND0FeODBqnLLs+ie
+MUArCaDMvwDk5bRqDjTSqzP2SGzR+samul4Fy4nDvn4Mpk/cPwu78eYwI8KHz3B4ohzMWUewgVq
faLaDDjFF1dM+7gb5XajS1qPpm1I4/0uZQgsq6hSwXSrMpZ9lGbjwYqt19ks3/ik//1lt435MS6H
yTVAJZxCK5iOJPWia9T4lH7+ppsfdyVSswyaoDwVi5vhu12TRRQOrosZl14P9ZPZrtyBln2c6xG0
XpRF15nsxWtB5uPfD2bYjIDTUCFPgCXQNhKOFmHKtO90IZrviWiGY81YGSoCf4yFiV1hcUBNnbrQ
AN9L0OfOSgr72wJgrgKv86RmcPKnQKmvlqK9NUFnPnYg6Te102R3zoOJmOk7t6FyZ+m6hgZ26dy2
4/uPLIq8tzBHDet8g2I8XuOymPeZ8r3OhvIQwondpqK1aJFV/bYqZAeUTLEeUnL5wrgj3paG/Rer
mPVxx0Pv0F7fTUejFy/fbSwm02rgSgUZyiKghZh4VziacmRXrNwbGGE9vpjGNikMsK4NGmvWufZ0
o523sMb2wYyrp7cNvCQqaeBzAix23aIqSxffi+U+UwBSKtoQszhZ/yRrxRnhxLk5nEjVaP8O20J4
xIxdIauobENgmf/7MItiJEjsoae1sBF5Pr51CQ3K2kbV2o2xfO4SdiiIgN/sGM4DKTU/6TCxKxVD
9liPgCoheGONY+yYAPU5QSWttxmDzL0iHJAaQ+jQupWXCeVfktqdpza98FJdYtqqomLH/Vm/wArl
m9WtznmaqXP9tACwIzQPO+gX3zbxL982Ov26xfhVcP5737KRShEwDWJJkastYxYJGvdeJ+gungZv
sGf9geklXkavt9DdYyav+rE+KRWYaIXLBexBW/xgRq+6pOAVu5HwFVvzdGMC5kVCHa4lVlD+u7kb
NVW7K2c9erDxGZvNkty1OssJ2qjwCVQ0HCp0VW1p4zpd4KoBWvvqBPTxFrqeLEz+J00WGePdApp2
xCnlKCPRLDnZgyXbP5Jc2m/ksbcumfL2Ma/i1S+SHviYwcZCLHZsZN8ebbGZ2h6Vlugj+Pq97X2+
ylj6h5s7t3WHJ8fKDnfNXL82/3WfovEHCYHkim09JvtoQCvedsr0aBLCeFIGKD2wgx5vvwrtCi5Z
bJGQkLVsNeLwolSWRjpoJu7UUL+bMFQCao/vNWn8VTGchZ6YWbuUvuVGo6W/abgBHOvKhmWXBJc6
7bSNWBTnblC18jJh9dtGS7785Kh9JPMme9FHRfU7IoE2ZMn/JO5vehDrg51aP+CFRUC6x5dUjX6h
ainuTHjChCbRasoClwwQchWqFjVGIZ8bONBHCMqNF1la6Rfj0KBKkeGljLuAG6m6z6pSA+PV9z9o
AMdXOCWHKrEYgod3ihZ+dfoSH/uqjmbZpsE7YTHHeP/p50s4cp/D+t/OzeCjoQ4WAn9m5QLUaQlj
/SJTpzjnSAklGHPPWJT5YE8lYFYjHs2N6jVSN+77YQQJWdfCnxYXmTlcm2KwdhphQH+KWvvJgj3t
WxV56VKFqDxko0NZ6KunMXWdBVDBpPbiubDQTEe9o/4pRtI/wQRvnV7tz6PFmFSjL0RmOFLEHCjL
XnZG7mU6+sJqqLV9W+eY16apemx5+zgloo8OcSJD8Pa1JaBLni6EPBUGjIkOPu2ZacNKnh8fWoQy
KChttJ9q0Lqid37VDtu7pGqMhzGgFV6LsxoCAtr0w/qNiGESpBG26iVWZ9e0p+4xGMrgUpJWgPTm
DytPLaCZpvnoYHKgYb5AC5390uxVzuOEGNIWxvHeMwC8ZKsiFPSQvSEdlAN/nzj7kr4vshFzld3q
21gmBkYcFSIIdAp8Ck3stZCi7vOyGnc5QRXHFApfzrwd5hkPVqQCD1Rpw2ttR5Mbk9yL7IvXuQu0
C5afmGZo2+/JWl+2FqfLOxLjUHmUOv+yRj+a0HhZvLoE3GmSrUJn5o9Y/SFBLakbZ1px7JcU3lar
1ruhms39hIhyb+RafNWL2ufD5pzF+hCvIa+TwUdBZMV8jBtz+FYovqWiTJyAbH2jb/aH3RPQYPR+
35viMv7vQ6tqr58vL9qH1g8nXCZhGh0GzkEfPuiSPVXZ5xNuoR4+dLc0C2nj+nMWEKBpGJVw07yy
7mE9AmFxwheTURxyfnY4NsGQLPcDwSFrPI+towfpoJzWK5Hs8yepfzgj8iQtFmeE4gyD5fszYmIv
swgqTFPdDIqktLDBmyFBor2K/wZ/i32dsQtx5uMAqRYJFohy3qYrowaPgwLx/NWs82Y/ar2Ba2WA
2zbm58RhNEfO7RsGmLuuXL46ln1s4azPmpOZprInZwj0rnvAkTNc2kYQ+qk25DHr2JClCV+tFRkY
b3z7W6UNx4PZnYoWV6hVz3tMLwxwc3s+k0voN0wwtzmW7l06wgj5/E392B/g6SGQNBjMMJf5sJ1e
kFUCqsf/GfVB9QxECETv2CQsHMHoGa1gyGG0yyWwQKMjNrnqAxyqpNXzTSvnH2rcYxoPuLOXhpV7
CZJ73zEle55J/2Jn+HErwjN1pKFqusrgjzf091tglEPPnUgnYYIWd9e4Zq7htHRt7dRsULgYTbaR
9pLvGq3TaVUCom2zAS3wANMAWKZ57zDUXM+kmttVA/qZiGiHxpntCyCW9UAjsSL0Q6RtolxTvZyu
xzXMCe5JVdLedUXZ4GSSLyzkw5Z5jPZkESzuDjOnX12JHZB6ZrGzI2F88bn/OE6Hc8O8k1a0cHQD
Y/fvL1zNCUYjObzYspvFXVEmpCraHdsvdZPH4lfClH+HvBEZxuCZAa9WZtjwPv+cWP+yQsASEBp7
QMHH5X0fKaPFJzMtX4X50U7VgV9CuvI7s1npi1V4hBHAxjSS6+4BRjjSsh0Du+QZptwvmILNnyjW
jy0Yw3Or4l8fCzRPqO0mzLPGHyXsxgcavvXdunxu+CKppymk4zY3+fgEnoe5UedmxK14lcHNL2rn
M6rI6uqEPUD2HI3svC6aXdXDpoO2kmaMfckIhroZVwcpO/VeZML5ptQVIcKM01BbJsE32+b41Qqn
PNz+rqF2idcHm6Qr6InZARR2BKY+a2Pih3AJ3WAS9t0SKcRKVvWLjVZAyyN1JVVyp441TEzNZVRx
bM9qXvsMQ51Hq7ZmRjeQrz+/IEy7328Jbd3kxIa2nBaGbbzfrEK1AJ+xpBUWysldltAhN47e8O2n
yugfLHEcMeDmx2ygdXyAVU5N3Vp9dli6w+D4k+Pz2el2OtFE3Vqj2DvBfhZrNeMe9gLct6S30RJU
ULu1DsqfLbWHmW0nzOi3qTr9XWp4EuJo3ioFlj0c6VhTcXAQ2lqmdgDuOXeokfx18oK2WfODzg97
XwZsEQmX2k9ivwhgrnur3RvtHvh7ae8hsS+xz/vJI7o5c/LjX8WAcRwa64HqokNgHpbp0MRHSSpi
fLTqo1ETGn7slmMu1yLZPu1PUXaKobT2pzE8Z+JEMUT5u4gKFdVa5XLOl7ONy4N8AdwN+YXC5pDg
qv3iEjofDlc2V09wGR0WtrWL8PsXu2iTqpqhWdDNb6c7BxPJtdaOERYrdDHISRIOVA/sl9EYlfKv
dhC7tAebFAVxejY1uzwmVgbvN+zipyT404jq/MKuKr/cflKybD6Fus2NnDxyq4zfFIQLTxY8YTey
O/VxmU3h1rAd/RqAyUN1RmRWbOgOf0fSVN+XJa7wuXVIoY3ZF9rZWN+HofGgziCBDGdNHpC9BQC6
/ZUk1XLXxYp6T1+U1EqnMt5Q8WRuVWQNwks0h0u8TNIl2szYdLxYLHs4nVPDt4vuWQd/cUHPaV8S
u7OxmhjWLm8c9OD00PHtmj/xhAZbHaWCK0g1AjJGQ1dDHriRY9A9EG30F8E8zn2SNzTd1y1rid7I
JRnPZAAJdKYd9MI3HjKV3BwUcoVCNh1gaKtLbbzNTovUG912G+tih1YN/+PQdLQ+hvJey5WXbrHy
X7GsfjEJwoWoB7wlD59/m5mxffg2I5VSacDqphQmN7nfPwsY8RCOEjyJ+W+fqvswAYPtaywitU8f
to0PHSRSzETxQc5rBfOhsg+IYWVyRLI5tcelPRbBsdWOgJ2IGR7GU1ucJlAMiPyT8zISPHymVlJy
ch70s2zXqsPLop+pqr70RFeGl4Zh5q2GmsVsrflWYoVVXezgot8enQD06iWvrpj3FIdMul1dXRPl
QrXVNdYufXUdq2ulXKjmVp1CpvxlABdjASj1Wv6ZW43ahZrBgkcXVePje7Gii2jWx8w4B7dHTjqU
o+FPaSrrgQjK6m22E3VbO235kAMQJsRmTp6ICtA3GHr1+8WsvlcCP+CpEGxRz314dqqzzQ/L2WQA
5Zz50ivy7NxKzy8E1FLTuH7jh3Gtbrw0t2qty5Re+X6tkFHCMq1Ll16TEfs7qSSXIr2SoBla2DPW
egiyizQv1q2U5Lpy88etNlx087IMl+lWs3kRNrfsS5/9U5N9pursAs+ts8+Mz3QmaOVaUXmegxM1
BqdMWytoThIsR0ywBarqo4hPyog+di1C6xfgYcqBDDn4RmZ/AJwaf6fjS922oD7pJeS3Tb1fQRrg
bk2cttgzzfj8Q6197NWib9W4zdlMxNmzvx9fTuoymIneN1vbshUXde1hGE2VUOEDJjQqQh8N8Bn5
x6rsWQtSZZivNQX7JQAvti/FPiJoctyjhVWQw8b7FEemupbV7ZpiN9c7QYKGa4mdIXY4+v6uNsO6
RHYMPsc9aU62ta9j36QBXvlEmhSYxEkj414SgXleK6r+qYEcSxJxkaybBys6ou4pjMTZjYsCjEKv
0bgX2oGqtAPknLQ7xN0hdPyIqA9ejuOn2Ec6v9L8mTtq5pOhRs3BPuPOJvYhL6RcK4j2WEupVt2Z
3Q5WIm7amICZHWXyQnhZYocY5+/q2z21cC/kFS0awwU5Ot9g2UTyyzMLG7p/WY3Ya5oGpy3b0d+P
d2vNGgwFkDU4SdJctjOeBzJ5wAuELkpxStRuiFFFc+ORloYLvixkKQ3x4Xsk044Aalpvzr2hXUsz
vKn1hLGWeSubjZnhpYqX36ok4gND5K2g5/asDYpnQ+ZR8Hl5ELapxvQ6k204WN21Jv7YwTHzhs4j
FRn7vA5ghtNq4UVM97CvkphBMopwKfbp1NT+U0PsUrhBHWOrO9taZRgDTGar4UG7VQgZKlyLwY5S
uTJ1O3Wt5laVAl3cDVKvIMsiRSm31lJ74+hNtYfUqR89uJidvtYsPeAWFb+ETiK99lZaDGKSNrK3
dkGlR6W3iqVHhdJDCk2JW5E6xFBxda55cBAgrFN64pEBqCbenHjkk9uOWxquObu54eLmEDMNfjcr
3Rj+d+ImAVsG8jzImNyyp6VDA/Aqm9FGbtGYBr4ERgcQnesaukvmGrULbigagf6iCXQxQgGrIKku
sV0j9CA8UsutRq5x6xUvKZmJLX0CjzgMWjZi9jgwZVzBmbfIC02YnGsh8F01vlwyLre5Vn2rYvFa
E/yR15teS75kh5GI7AEPmoN2q5mxGXrB2OukG8ce9p5QrKVBKScIrHUxeHWFOxTMrF1aw9AqpMHA
ctuo6yNytGheHwubbijJKK7Ddj0losBNhrVa1a2BM5trlQp/i4+la6ceNXNBx/VxpHSvGZFQro8T
11HnmeAU51mt1dxKjRHWeXO8K6SHWYtK+Cex5BHaFO8sjaw7z7E9bfBs7KKDp2rsoNDGeWO1Vn+r
JfGk42JNrwy3MNzMcI3ZJSGpI6SXIBn2b1xXrm6AAmmrHeh+IFHs1a0zfNEduA3TfpsoIih1GABY
JopNob4/9VVzleVgOJhVBTraQEONnhDGRk9BI7xhHHMfVlrE2EmqHtoJtietJl4V+yGkGRsE7L4y
sTzYUpR7qWaHkQHaPh1Ajzg4Eo01H/7/P2QDBEPbfnXs17R/zXv+Na9L+Fr3r1r4Km4FSxiMwo2k
8F3JvlvGS798F82LNNYKjBebn4NnKpqfyeCNHpL5uc2es/kZGIZtfKPa9lvffovCb0mI5+oJgZhZ
PNm3kjbOnrWS8VEYD236aBoPpYCyCTClKnOyW2JLPqWzAnKvDP6TWHHxDD/db5ji3dOoZkDSd8k2
Qx35+MWt9IMK0OFK6CZ3UtXmcrzvROPw6QkHavotPQwoDoHyYgzjX9HCoAvre0/a0H2JzwEmELjR
qidy9fMn8NGsArlN8hfydsOUmnzXfQlJiWo1BQS0iANWntA8kuXIsaBrgxXIhMrIXPwlqaJdVase
89s15chpaQ44tTvqoTtguQWWKT3Zv+VEMkXZ9y4w9J0+hr+YfeXMvubqEbCQ//kz/7Cx5knTr+Au
hg4Gq8q7Jx5NXTBAoe63dLvJV7QICY1zQE/obMGuiD8zEc0XQrezL96xjzJFm4mZoTOMR05Hu/Jd
408dWpgKwdqkLOw7kvTa0+1hzkCNlhkzmpLM3W6a9Re1sghT6EztVNfJW+NwT4XvKdyRTa2qQRVo
AfYCFU2T19lxEOUCpz4QjbpRAVk1utB2ZgDeKilXcHyZqw99trB7dtJTbk7qw+1XLX/c2OAGCPSI
HJi7EqSlwijOlrF8micC5DoaF1mQvBCuZZ7gRf/3Q6y5xZrjtdTaZtBHjg6Em8AVDwnQU+Q32ROZ
kQ0Nyz6X2IUo4pttlT836HS+WJPsj52o1QbDEEyjI7Q6kH4/KU2WHqRqs7Am1ZKtyTpdJ592PpD1
QE3OgYzqxWFLuRZbzb8rBPhC5u6t2G1SbDWDbH1kq0kZ0u2v7DeV4Z/NJuPb2N6x2aQMkKi3zSb7
zSRdt5xsNaPpn63mEOzYana3+nuryW6zpGcR+/3kk0jPPpPKTD+hqkN4220G4T/7zFXOBnwjLmay
6XqMenZ0vj2UygECo1f3zEXJAL/r8YBePv922B+7SIL27zrdlTrtRfFusJiSqtRBBajAIWOZyeiC
k33dRudZ3g+McnE5V/Nr3CyXQbWHfQiHE2iPXE63h77JVPw0BA/WWHP9RsbjXYAdjc6rbvzsdG1b
wXtwjaXs97CM0rubhJHvw59Rtjoi//dXt983TRMQLdeS9L7+DRj1f036DEcyiXetU4Bb60E7SrKK
TgWXDanxjObq1YHFs82T6cUJk19laybekszBUz/qwBPjBQybOcpjiCtpO0/W/aCvaYuJWjzrhWKc
+mGNYmmK4lllhn+Rv6yWlmZZO+kP4mp+Bv2c/2IJOQ+sMs9NUDzdHCJVwTBOcRbbd2IdfUanP2ut
Xj84bdH8Zao1OdfGNF1SE0wVk9HWq7q8+vb5pftoC6DpZ3FnVknR1XTn/cpGKG9WDLUOjqVDKqHm
KaiwJO+etLa4FrAnfBhg8smyEwLRuiV+YgIAL26Mc99k/HtMaiZSqQ6gsqG7+gMf8Km1MC9EHWzj
2V60uyh8cyCHYv6er9U8dGeaL+ElWlh5qtKJXtVx7D3IcoXP0LHbBhpm1kFtB3JgS+tOIo841m1H
18oZ0udQZr/Wvwb6XFtmPPYdggCgrgXn2V4lWj0YjKNuVgRk0PapcrU9qdZPbcXaZJ0EhhdyzZdo
jT6fQ/EWmsqf06x2fzSRcT/myi+cm8tjSUrhxuiJRgSvoHwhUvyXWQn3Eu6/EuUp6+77jisMK0t2
PUyniAHNNWp0n4RU1VXxsci45DjUnwRGuy3/X7irzooettlhozjh4s2XOkl+gFQli29wnspW/6Gi
p/rCK4JZ9ePRzWbLtt7paCqK90oBlWGBQrhdtR01vWKsZNDwtvXyDs1jX3oLozzHrS3OcB5H8oak
u1vlE9kqHkJ0qsG+cYlrhKy7ZdxNDFLFWsO4c5ydTPdWuredHYRvI0VvsxfNXs5rZdY+udUY+f2t
FJOTrk8hxSFuaxx9s/TFrQhSZ8SP7nQp/XL0p9IfyOMib6/049HvSj8cfSP0K2QAJdpUPytZP/e4
48ZbReZen/ZaNcO0wDwLNw3lV5vdmTy9Zi8AnDR7Z97rzT639ua8T619fKsh8rtbNZEvy7WqyB9G
H5FnN9LXUwNXL31E49Xoz+VaNEgzNOTlWgQCRryI0FcGX4S+M/ha6OelPzHKDv2BgNLQD809FRhr
LQz26z1WOhOInFviVEj2WbIHf0elkoCntWbAxsVu7HdjtOsjegJfqEf+ZXKKdYMNEKZmoepsg36/
ZdrQOzPZq6wDqTX4vUlCZldb0Kiq+MkEjqJG865unOV7GcYVzUO8JCT9DOiO4hS8rtO7tbCEb6Aw
fSmjFkSMiT92MAMOiNFwMVMF+Hkngi+6orem5+/HD8vhAKIatJGAsN36S/+leolYhSokfDHHORvn
9xwa2ymfoRKJuj7iYseINCUH4qiHRzwxzl4rn2kzGw+EFChffLE+qsDRBDkog3Skq2w93ptaNeLm
jXRMFSz4iP2yqCovJC3/UkYuo5mJggwnICoxwX5+khG0AZ8q38czYr8MPlJYzj8SsUZN9Sk8UHvZ
ABTRcUS31iGxyHvTk8V56zLjQTZO9YVGkS3nh0UBfzmLgmrAbtE/TBq6sMjaYiIcelywtG5D8A+o
EpTZlWqtuZraw4YoB/3kjIZOJ5GHXtDOiCzSgG5/ozQjcYpzHCyQ73faYFvHZRA1FtWSTNwiLwCL
hPStVvG0WB/aumnv+nj5E8ymuatbuzuJkRnM7adeG1/Lse32VgeSuLQSjgLafOhL8rCqCtUDaIFT
XQ7BqSORmazkZNxZxCIxQcocyCO0gTe3Hws1b4+qvUOPk8unsnSmch9WiuoxGjNB9FbmmTydgol7
SouthUB0+908J5WL5D9yl5WSM5UWEj5GrJ6MGu2ayABuyGwB441EdF9DhNqGzQAoEunO/e13vV46
d9kZVeX/+0VCK2oeSgIPSfEk5oQWSiD54mu8TrfnYAK4hAerIlZPWaGjy+QlAB4f1JzAIFIgRvbv
ZH3mfXttEtSEkdDqe7BakNkncrYyh+z3Tut9Iyi7b5oAVj+UEumm+Z+4oEWXLRDJmjid/NFR7U0/
t4KguIHOqKkN4ClAvAmxEmK6fSi6EjQheDM7I4CDu+9xipyjGS7GUx6QjmkkTE8zC4VYqvwPY2e6
GzeWbelXKeR/VnMeLm4V0GQwGKPm+Q9hyTIP53l8m36WfrH+GHbWLTsLmQ1sBDRZlkKMw3P2Xutb
kOhXeh0wdkDuvaqCfnDYP5lt8mKOo7WZVGYTPWIRqBas2qklP7R2E90UmqQ+6c4X3TDzxxxcUhSH
2i7VW3EY8WceLm8x4PnxVpXXhDV3A6nNq9bSyvGR1F1l76tqGQEeIkjv1G44Yvnojz1es2MOMwt0
6eIEkC5dXP/JG0e5bDs43bxfUnaAuKqfkUOfc5FAzQ0HjQF1G2KC1ef0AMRSBgYEnIesoOZddpin
t7N9NcdJyt+k6K5s7o+X9+o5XzZ2jQfSJAyX2a+iI2w0OgUgtD64okElJGGF6qL5wZIJTFAScdM5
y/Rgmgu8WrMtEUtwxCvpagxaOR6wvo8HGik/3lL7aTwUDhcxLRHWf37b26Grllu7Vz4kvdUPqGXn
2+8fz9rzGJbO6fLe5eMzbUw77qBs6svBCmmjdE423wB3zg+Kym1lNlHZsSW7dSwLIpeCliPS6vCQ
RgNJAou8ANjLAMjABuWj8eWjAo5spsT6se7s4soC2hfMpUywyWru+v7QDsu2kCL8tqXRXlcms120
0Ab+aml1RzKHkFnaGLdPJBVVgzUFOM+v6yFvz47MUa0cZXLmRn4f9XkJdZ44U+1WipV1qOv95R2C
IrGcGHt57nVlF+nrEWVUSMbK5td6FvmjVERbdqD2S4PmugZjv88lpBCcepOodo4obpPBvXxoKVX9
dHno47d6tAEI1fpA+G6YYfVY2Wcto+ViBU2PcFSdvvrxYK/v2g4A1jrVx6CflvrY1eXXXs66O67M
AmpFKvvmKv0cGxtaal5fX6BUjAvVYIhJkAVwkOwjCaiSGYEy6EzCjGNWTNcWWrTv0K2QaWhWNzKJ
RnHWDFds7D4tDPl3tUb6FYiL9pSCrD6EdX3P7KsF9GBhvShAOCStBC9G4/CeC7MIHP7D3aKCBdeB
jZ+dIonp95KcVVeyNruFKiLmoQrNby2Sj2gklmMKB/uwAKfHQjSfwiZhQLa+dXmA5cAma9YWGrDW
sy3FxY6cC+NsS41x1gtVOxTl8Ggr3XKUDAtbBwdNDxHrAlU86mBdL0Rul6b6VOX5c206NYHtakpX
PuSYWOnipp3EUSvb5iB3Q+npeOo2GJ7JyOhCWqmdDdgTeCF7l1LGfRrLBfJGrb7Wrbr2+y4j5KtH
L1wZEYpBnNEdvDZA9dgm6ahYm3KaD1oOSzyEEns1VEN5JelpdGWhY1A8Mrj6Rap8QTNzG8KyeYjH
odrjc209pJnWTgBocAddccgEaX489GCoidsd4K8Z5GTbUbPeKUS3K/P8Q19fCwk5aW5XVsUuBT58
HRk5sUfsLBjMCWRDUfJuTfonIkH9ddBN0jSjWTzV8T6s+GvMtjUzq82W7w9SHpJ1aOS2Z/Ea2EdR
lZB6Uq3hRCnm7aVsjtAfwsXIrvAJ98ZG1wouCo808nT64sRCkKDQipuIuYwTS8ahMsbwDp3PSSFL
0lekwdhi7pyuppWTNs8LYdg9kUD2Iu9DqwYDZhMtKKV6scXZWm9mq5wZDYTaOU3yvZL3Mz3z4dOR
OBsQZA08ZxXuoEm6U7SIcXaih4cyQumKz8+fEsSjaQ+nmyNSfA+SjBnl6oYpRBveo+Z6l9PEejei
4qMZIpJ1BgJ4wbDbJ90e7JMKTWNTT9DAJyFDxXHKr22jEy5miZcsHHo/NJHhZ4YG3wLnE3shx8tz
CcXpvx4qEOnHpDJk5j8J+auR9rGYenWvT7q2VzQg0SXMywC7hH3sY8niolbvJiXX92VszdecZxny
maQygjCZ/6JVeRF8/LzfddhkqqZiaho9mV8VjkucaqGFYtBjB8pMRsquTKPgDxkuzSMH+sdJT8Rx
xFq7M7miBkxYJACge3KMqb1GMufPnAw9beDYtuCc8AXt9w3hfbTuAcfi6CcrrVLuoimAlimDIWND
necl5Nt40rkKk69YmnHJkbAMVSD25U7/ajshWJFhHb3UhG/i3sPjNZpPTmaeREqgIJJSfVNbBLVj
IPOiyqEPPI/reTIuA1k4SWCbiHPnVg3GYpx9pQrUmJmlJYoX4WSM+w3+ukq3wwbrm239qITTR1bN
ZNhxlR30EJzVOBdQV0gjhvQ/3P95H0X94+aYn9BkMdNMdJDsj38+HZXK0tmsyDlnHkzdoZW9QWGJ
kXRHm4KpjqE16s2k1c/9UFS86Jb2iuvZCYRWMNjLMmI8Jkdxt35jJtZNCmdlL0xhBTLgnZvcmR8V
HXeDESnElCEMFld9VourKiMm+s9/Ee0PU1s0RCZOYYtGvQZU6pfOaDLnk9TMbeNhJD1Y9LtPlYhA
5MsT1AtCkbo6PV0+HNPe+v4W0/uJtNi8ulvUsvfs1nBVY4ye6rYOz4MK+jMDCPyiW+nsd+aaO2xI
RJZKFs1hu2j2E2LbWSPapsnmu6TRj8sUiasLkMwQfcQrf1Nggjm0kWDj1Xa2a5jSq52q/U3vJMW9
lq1wheWvWmPrgfanF5JN9wP/EIYsk2axvg4F/u3gqBQZkLPUKrxqUvSH8XFatG+xY+T3iQa72Sri
9FzF0k1ffrC5TU+XB3zYuUumlrIzR3u4qbtv6VQkVxPE4WlSgAhjawiZMzWzke2dUd1YKzR4jImO
bkIBCCaWN5nWwQtewEJBOQlnNb+JVOUVlrj8QMedQwtumfeVhGuzWCkZYOAFxNp9koM1pQeKrCfr
vhkJr992qBS/moV6lbcwaEnnuzgktdpm2z6yh8itOH4A/hGU5Xzf5umpk4byINR4eiL9yi+n0XrM
x/RVMqSbuI2Gh4usfAi/EfjQ/kWDQVH+4JyxZYy7lqUbOOAIA/zlNVTZkR5J5AF4Cnm6jW9pazmX
iuF9IWpo1sqb7axvBwl/6HaStnMeLNJWI42DzHt2REpgcTxJdzm4OrQ4/mIHabozml2e7rCjUCr6
4mZH35XUKtHuuENr1s5edoa1M5O9Ze0i9pTWjgBJydpR5K/G6T6BMQVVdZPZ7F12hb2ryDSS6Vfv
ennHLpS1hrJaoCM7p93V2U5qd5YT9NnOcQLpUqoaiDAgV4xqy6C/1CACylm2qrmVlrXabutw1oq2
HSoExk3+UM+EZkyyA3+rexRRmp8WUt3LISBFmirKtSBd1Xwvc9teHk0YXcu2SnuCcWODfBVbb7/O
O8Dhf9H/R132h5cKPSHsXXQ2mQEo+i+IgVKLZimaHWga9VmXzxr8Bnktqz6j7HLqcyivmi4BGF85
I+tKL1UNbttuc+VcNIR/navmXKPgyg4oMkl7bc5Dc54Rc4nz1KyqLgnumjgL/dT3pwSlMraV/jTz
drZWBiGDLQ8c5PloW8e5+lFydVSiIzpWKhlWHSs154fvUlY2QyaTnouadWS4nO1RsSpEha1q1jZf
q893qFmlcJWydmNQVkFlkfwSFBa3oJ0c77J6Z08g33eLsdYo9lPFPH2vTnv5UutCauwtHuuDUR8q
G4MHMuZDipT0Ukl/pBjhZIhjTlJ3HKJTF53Maq0mOoE6qJZTcSnbPmXLyVw3M2tN+Vm1TwOisvzc
5ecmP9coyvJzOZ6JXU5HPwaHOp7j8ZzlIBbPAiEq6QrD2R7OUnZ22IPDz+HFEOunlk0PKaQjCdUn
RZyr/tT0p0hfHzui2Hg7W0ux+LFPmnUc56PBMz0fBaKJ0B1+l/Gi4aUQ86LkRcNLgg9i3ijcI+P9
ruQdOeQBEP9dybv8LuP9dyXvv2S87RhoJOhdlLzIeHMLQvAq400ZPNT/kvF+V/Ii41XgwVc/lLzm
f1LyNssB2w0yXkoCy6mtYl5kvEj7kouYF11fHf2k5F2Q/Nkn41Lxchrzs2KfqJ6nfQ7k95Znnacc
akB+8T8Rn2dv/+K+/IeJJcp9i/6lQzcTtbb8y0sMQFneNTYt+ToXKTxdS70vcpL9xFRZRzimyRXW
AaLdU1Gx9kzEDKhT7fZr0pmMI/0aH4NGSkIFzVejYwhEfIJfMGXXhYMKBrNutKUPa3DFldm2NUzn
ehZAobsyaq44xTR+xH7haGS5frSkCTUQQQ9nhzZzlYaoOJdo2MoS3nB5KMuNmUviabEY3WddUv5F
F5XZ4h+XG5PRrcpwwgHd86uOAHVtUyddC+1z2HyvmWGEuSkin4DY6iXilNL44eRLjd/iBpsR5K9l
pVvnUrSqR/BeM6eNbahvGZpa0pbmGBVia4OPX9ARCmIyePugutSsBA0DMiVQL5U4wdQHmROA8Smc
wOZmc6nGCYw+iDiyOwF4hlQNcjXgRL2aP3y7wHYZ4NGjojIQImB3m4gACEAmgtrcLqz9mPqWbdyt
hRFFuVQdbTlnRLKfmb5gSiH7ZfmjQibl9oYeHZXD6G/X4mRCETxlSPTaOJ+tj+AdKbJNqNLx4bPB
UxiSbUfRGiWCpdpWyfYB1xsIdo2jmLpVnO2cAqIIxjTo02BqguFSXUMfJmiaYJzX6uegvTxiPFKM
ICHwzgjyOZiMIJ3XN+LfK5pxJkEvD7R6LaUO5iRY6gBHKgWBabC3VGdDHN/OynZEl9Bvy3Kr9Vty
SCmYELXlU4niC6ryw96XyrWSZ2JSOgcV51oNgTzdhlQpTIdtvVGGDQIEajHXgnNJhY2f5L5E9s3s
ww2nhtCfLtU124hOYIP6e+voW4ijkr4VxloYwaKIOXYgiiCOgoSL5VJkbxdFgPevv1RTBIYSjJxS
lGDuA0cJpiKQFMIAA6EGeh8QnmFfalYZH7tWEVDOpSSCqvgvuEIuVZhoR7eVCQ5+i2fiKom2IzuE
fJt0W7pXVbSNTD82/ZSrpF8rvhQba8smuAuhJ/1jMh3WAohKTcNGl9fKyNgyN03mfy8g13Hjx5ov
jT6MyMwhjHlLtQlj/LXqcSupBD9sHXQ3ztZSt7KznbhInO3AdcIl0QQ91wZXC6BxlocAbhwIXlbK
sgl0I2jmH1XNAQUtYDSCjMuHC2deS1xK4oBZB84UqPVaMiOwJJjrYOAaSUCABL29pVhp7X5b26QT
bfV+W5RboqxUsZaMjoj1yfKl3kd4ElW+w+meyyRZC5Qr3gVKateiIfHnKzao0j8uU9bKwmJoxtSE
vdHPBwinCaMsISLTM1VBTrulcGPRwjEwDfMxXt+7fEgl/JduNZXqByGOw3Ao9YOdr0VySazuhzUV
Zm91ezNby3J2Rb+LADf0uxTairGWReiM2FsMa6s9QeVbjf1HTNDYWvZyMJfDYh9o7Y7Zkeqz49Af
ZW0tJzrV9cmKTmW9Vu+c8vrUOmtlxTmezklxbgEjVdtoOofjWTLXSrOr+FIRLaPhKkyv7LQR5FpZ
EtCISZVOI42TDaAPqTqG0TESa2X6oR8O43Cw8oOTc9DY9+Ee2zCpCVq2t7s9pyLTgZu4VolptV6L
HoltrGXy64m9NK1VmnslPuTmnvB1vKLUlB3JWxr4Be3D2B9Jk+172lprVZB2atqmJ305yfUhwWV9
ygsc2CdKTGcqLs7SGlHyF3vj/zBLR+gGB03nPsU06A+UK2UuxrDKCB6jf4RwdJBSbs25fi3CUdoM
ZaXdT61UesIcshdu/E8mUvfFjpebUB0J3YElqUVkWmVq1QZ05TpgQhKCVcB5/iTP1nUfqYfCsNoH
eoPdQ0uAba+13ZW5FLxOYzTgOtdJaS3ls11n26TXP7smfipNJ3qAstMAoVx7RWFH2yT+LPNheC+Q
mM4mdOUJV9uuLWP6plGtvKdZuzd0XsrdqNY3FZAlbxkaCesVScGxNBWb1NCbB475JrvN8am0ukfQ
oYyuVPqvtBWxporahKqhdVeLUVReXCzGFzssr4T2JASeoH7pyfTNolvVHq3AUjkJ9YVm3My5NG4a
JX4mRNA6Y3tFLd9cNVolMVonY3heRIEfZZSfGqEeIHmZoOFz3PRziRezEuabKmHwimbtepYH5dgL
ebq5PCQ1jPqKTpdv6yEo01TE131THMU8y/dtrTzz/IyHecgZJsYG9odWOSGpuSfCkuDSqjVuctPW
1yTEEjlds6qf+/ygjRDboz5u7ptvw9y2Gxv/9s3lQZqj8KB5yVgvXk9w8pEGmf5cmUf2ffpL2YXV
YTYmGy1uFL8xLnmWqzy76sR0DVypoiUzIo2kEUAAWEvuwdDc2uhFbqOQDlqY1sTqibAXHvcGFUax
OpbFVR4S42mFuE8rvTRf6F99KpJWfEwl+eWJHglihM+OjRHmz5fA/3AupOGw0rhkw1BXBeXPK2Bn
DcS6Gy0UxGhWb+MOSUS4EGJug2J6KWTlY4HAGVRSYuANk+T7hC1TlpLMAqtSwtLiBLEtIkgTt5SS
I6Ql/2qgfXD8n4dufXcShK7T2lYDLYzvs1Kx3pQUH3cpEWAEVtm5ZdTwOVb2OTIenewpnJ+s7CmJ
nsWl6u5ZM5+VS7UjqUlBXr6kJSltr6QnasrLML12l2qmV7phGYvk2JZX1lA2963h3Pz58/adEv9z
74nNLZJPdLKQbIxfCTZjTVKKMeOUHWTpujHFsCU8zQwGQxlfbShcxCHlJFkOCoClKTsrhUUPVBkO
fXLTVPZVIzekRyl66celCU6iU2Q3mkHHiVi8a3Yb3VRJpHoRIrPrtrcA+BdVtWtk4DeGYZ1MVZte
jVEzXbAublXzfAgLeT+5Ad1dZElvTs0hQe05ryVq3pGrYXyGGJu9xQTsJEHRTZX2Sjc7blNaxW6q
bLSdEZIJ2+Th/dIl2nOvzrtcKuQPxX63ZXIfWptU8np96Mp6PuWZaRGrpeakGMKXntP4EQm4eHSi
W6KLM84VRDipaQLUsCmunR79ekG2hjeYPVnbhjme5XjKT0ywPV3NP0l1mB7aPK4DI+XWyCym3Om2
FN0ovA5d8DhIgHRc9YDCjlpfLR+lXr4NHaggNFkdextBf6knK71Z7eBEfldeL6FX9ZKsAEeuuWVf
zW9mPJb4TWgfTQjxEdJeepiXB1NREzcd0UheLpX/9TH9V/RZ3ny/Jtp//jfvf5TV3MSR6H5595+b
+//98LdvZfO38/324b/Xf/qvL/35H/7z6svQfdZ/+iXn+KMp2/Jb9+tX/fR9+RF+/IibL92Xn97x
iy7u5tv+E1jMZ9tn3eVn4JdZv/L/95N/+7x8l4e5+vzHbx/g8br1u0Wwo3778amVBg2R8N9eWOv3
//HJqy85/+78JZq/NGXTLv/3/0R/+HefX9ruH7+p6t8hKtBtZIkCV8pd+re/jZ/rZxTz70xIuHWv
N2+HZAU+U5RNJ/7xm27/3QDUZcARpE0JkIEfg+Cly6eMv1s6TjWZ6aRsY8a0f/v99//pj/k/f9y/
kZd0U8ZF1/7jN5povwwWZLTf6O848PMWqqtfu9BR0iaJXlgAnoZ0cmeg9kc5M14wyuGbrK+LkczA
TEA7sWfCMjs0eEzKtxkeZalMp21cselIMO/qOdm1splXm6E3YGna9o1MYPk2lXvbk6/qQmGfzsmQ
NEUXfaHsZTU408VMVFePcPwwaPTtcoCVORuoE82OxOCuMzY1X6Bw2lf0FJaUBXcftInLADTxja5o
XScrOz/JrAR8Z03WSD4LxrlqDd9tirzSUJDtCYGRd9UYog/dGIqrIDEnSBBrTy89VUgXuMdvpVjU
vnD0t7hFOBfSA3AHYFmbXCEt3iHUalOkJO/E0nAfT4+h3m/geUf+oDmPMks2EfG+kobGZqkrd5pq
1RUMj5AixAc9I61wrhSJRnHdbWQ0Ysyh4rd4tFD+QJFkyO3NJDiDADygbk3cTkJt2MzWgZwNEup6
FuXltpGG8DTCRi91B66XKguf9ByDUPXiNVvGHYSMz4ykKG3klFrO/RcLLjb7vhnPUO9K+fQJjrZ0
2bEIL+2+5GBKEN4430KFG43soH4p5z332HiTqnIgJ8Ih1TwCqj31yYZh5OtifmRaEvphLrgNGgXq
NrJeJf7ac3GUQxsEokLgIZOmVXt2UCokxXVZuOArCjdFiIYDq7+tCFqH5DwB5BKGhx0A5UBn7Sfb
2pNRRThF2VReapMy1Be5u8Au8CItIptWWLcaKWHM2QbupkVIvo9zitAes52FdxhFpGup5RK6zirZ
TY0MRcP4XjTaN6hVNk1/8dhl6osSvoJl4prKPhKtk1xeGZ1f2bY/hzhESG6TJQ4PXYDMd9qavdRt
BrQrtcJNIelkIh7WuaI0PsaSc9NV6UNSM1GYJ7ao5GYG1qS9kTszkdAEj6AAE6WaqeWmqnbBjGOx
w+fM7URzc0FoqK7OZAkCtu+m57iwh30xOFdTIz6x4qeb5RrdWbwNh1wlu9mePFVZqZn0Hhj4PFZ6
mp0aEidcTs8EP/TvxNt+FS1WwTUxACOcygCmtmHOajrZlsM51V9VGRWUwpmmkkvDkybJh+1DEqKB
ki7twFakJqOQSHnOgJD4xcSgbrZhdyiNlcPupiE64KmYxnfbzm7YRJsbJcHV1oERzVXyiUQdBaie
nbBejklbLt7CXoEYjfqpMIiEJnHYdCeLgYoqyk1TTzJDhljdxBN+JUWdi50lLE/JB91tuwqebo4Z
vlrszyyVEHCH+P8cEoY0J1VJT1zGTcY5l0mG4xDLbr4bTnpPPByHdVlGxFobg2fPpFG0NrnMoyM8
cxbDASE3MJMnvSjSfUcEPCux6o8tiegFvpRuAgEsEr9YRuChMJ69LJ25MFob85otnshAYehVFF8y
KXslFjZZMaakxE/WF8Ttmz4Rz9UMqb7sDf7kln4dGmMCFCunN4jNXYCx3xixgohQ8Cyvl/e04F1c
IJe2GU4cZUL3IUUEC0jSTks2i0FAOSFhlrCzzTCQ1F6MYE0LMtu9ng2bq1SuUiskXCwFEWsjB6Bh
Hvd63LxpoUJWJwY5XyFCplERyqFRKrxmzMjeSJnsjZL5CI/zmPaqNw1S4sWhghzGrjZjGe1sOX6Z
gRi7S1yioMrtIFSjhb8mzKIQagNIoQr8PEkvcoYfAVGUP8w3nRXOp3R4TGNaJrXUYf+z3yHrkW3f
Oga+ovpr3Ct+U1g3hpy9WkLaO2ymT6jX9mKYNS9uM56nAU+0gQLB021UzHosHnu9Toi7ClcaSJr5
tz16VM+Y6AJrqSJ55QAubJgeop41oB+Twq2YdLocDOpMupoSB91PrDpuI5Ejktf0YFfRZdxM3lJI
zwotNtQALo7hxVZfYA+Q32ESeihZXLAfoW3RxgQMUjCy60wa1wZKHysfkdWU9qezjO6oGl97qT2v
CkG3tdqrpT9IqtG4WLBqAD0ZTbjhqurAS+Rh2XgSVBl3jieXA/5xdU8EEOB1eofxbarVpJBDVFKG
F9vsF1+KeFXPUXZTqqwLmhHlrmOoL2k2GMTILT7uv5LEQDKZldK+nYjtrufB5KRelJsc1G82mfdz
heK/tqODUk9H7pMv+moQafuvEzzBzWi/ZhJmT1txgkqtKk8kNApIFT40GtdNCoSWGC5BxIgVg0/L
XkKh3NtJj2luRDnZFi2Xoxmvy0m2qZsKXtVI7jdevPUlnBECseCIclkOuGKnHGJ79zUySK13LMwt
wvrAJoOwIQTa1TOMjHBmun0bbSX2z8LmADf2E4s19/RsitgutDoGD8nY1WjgsZjVnj4hFjX79qw4
fMO5i78CaPI7spH8bpRJg4vLlO00iyNnQ4iCWL+jQ1ylt0iwZA4hw6koi8chTujv8uJyBQLQpkMP
KmVEykgZjT8FvGRtD5BaeuFHpRl6Jmtsv1r1c+6yhtnnTMhRzJXOmEOop/OEPIToye5ka/G9tGif
jpXcVCH7+ZBZZdO86Db5o7LKlZg63V0t8bzJ1cYwGkI3i5lXQbZ1BAS2TkKv5hSbcelCki0AN+i1
P5NIhsanIiXOfmvMDLhvNoDcy8R7rDnXFnNcZveThiF52A+oI7BFuiLBWdjoWbcZK1RaU9G8shzA
lIv93JT37Yonm8KucdWmu0PnOru6hIAmwrgTDvsQoYRLzusTnEQk9jIeMqGubu7FAI4ZE0peNV7f
3g0jAxtBrK+bMzEjCgHKWV/XeHLA9zHtlzqiS5qGxNYewQpHexqJZLzPJhdNEd/ls7N4Ce6/gi2G
g+AI8ZWfkaO4sQBIFSULsmWmCwLrkLztnu+r4TINex0B9+SnobQv7BLTE8+jMbbPDqpG7kSGS9z1
7VySiLskG/bD5Hd3zUkKl7sZtoHoBLi+3vhAj8ffuXfTkHxeJ7TPCBpKQiXe1Cy5VtqMnJLaOElR
OXhQmJJNM8DsMloWRANWBWu615mod/WCxkdaHvXwTue2jLlzqAKp7IAUqK0nwX9hVyYx21L3FoOC
biEkWSacR55V3PvrMzEi3dOn8GRx8nNz2NJeQtzMBsS2B24HPM2+lB2T3VKjQVYkpanNBWkqD7UZ
2+cixMSyJsQu0pvOSuXZUQRIMN9Xtbmw4ejzjUMfyFlKkrrA+/SSqw7zVxPqYum0d47iocNkG2GE
n6nWksrJGuLUtmdInEjD11nmZ57JgyolYi70AcDlNFnqxlGq+5CGa5V8KaBOupDjIU+zrUnM5KoQ
GZ17a5NUWuLObIsXBWx7ZKD3JO31mwOh2Yw0Xm6p7EnVdDQ6850tGLtW0R4iUqV8tVR4Nm0OwCpw
wvDBBGdPZyb9smjJdpLVHUawZ1k2MKATx8Iiqblx07RunVnIxI3iofziZNrnLCpUGrFFrGTHHSfP
A/bu2yQ0762KSKaQHKVNUa7CDLF4dr50rjUnu8SUTl3bmDshly8aEMVWA7Q/VLzuozL5cFRs8pl4
SyvaAmyk2EBnhathn2UhbB+0Mn/NKhzxksMIVK5VZiZgwxZGGAu8TOZpL/LQq+6w5rRVA5Jy1fpI
i/WeiRZjjFpvaJUverrcC8amgEyXr8krMeCxh4c3kC3WRtBheB+NmISnfG3Sye1Zm8Jj27ZIbdv8
MITAO2s1td2wizdtaHxOeT6dNC6gfTtyW6QTj50Pb6TRulXG0iCVH3YkfzXoJPgiWYmV0LVmJMDm
zFxMiQ0Cd+jU22kBrngsdiWoS2/MBVNB8920sZ4VHDosXWJYqZPqi4ieu1CJcmBgL6vOgrjFJYNh
nPXcI2E/zxG5a07WCU8D6hArninlsa/gN2UojcdpQQVIi4p1V5eCuG/zo5iOoTVogdqOx8iYiVfT
gJXqSXUY1YekNAxGeSE50O1QMkiz8HqSo2XMJbvrmv1iVYxwD5VNPYKgZucLffxmlIBAYCd0VZN8
beNbnjf3kpS7meocaF3nnAd4jRq5pLlNQjI3fwVXXR9GGtNuig2tssevoaRXvpmHyFPSZDPS+cv7
2tqHiZRtYOG6Oi3a0IyZC0Ka80gr5arpcLWG3hgDNSGPa17tTZOncbgUcXKblNn9kLEWaGWSb6zO
urf16Qam1mM6goZXlnFvm6XLs36aFkd3SQLD0J62uywfTjFkIciOxzVhJqmkB3h21+USv6n8P26I
dMviVCQgCOQV0FREwZu257VhxPHJGEzTNb6SkEfLzsy/khGAnN9a7kGH+UkLIoYjYmOOHxx8WafT
8mGxcXybafjejNb7ZE8madDW48iKmHYl/gQz24wmp+7JoR/QY8vZZaqQPKilRt2CHFLEDo9KCc6h
QDKFlcOT5BJDPv17ECDdhtMpqhIjdIsFF6DD74e62hzglUQ5O91sC6Jc88kksr0mN7jraSe76jFJ
tzBwW3DQU0U8H9qDpqkMD3eWAT3DZp3J1xhGNiISQrvYkDGyG/ot/C1uBC3E0TEPioEbD+52yH8F
1om+UK51FTdamURvvUoGUzGOHCpguoq2FxtrHl7VwnmPnjVt1Ni3i3hThvWLDpLSbc3xVmmKwbMa
kh/zedhPKoeJYlxkMhQBci4TbHiF/sjAQANXswHEtuCKKJLhVl30zF/EXZxxz9BoTXCvXkjQaJIX
LngalNGTrk07O+6v23nYZUT+aICK0uzclIieeXmIO7DKpCdzJC8IMQbIMjU60vXSY/270+Zrx3Zr
DdwKR4x28kH8+mbm7JrJ2J33emqDGTLXCPFwD3fhBp4q+ojhFhpL2Jr36rSca7F2xPtvZu/bcXSX
pUQJo3ONXFOJicgV26Y82BANXbNkrminw8Y023MTOQ85diowjptW476alxh5p/Kd3FmvLFPZjTWa
BBJnoTRR4X5Lznvd21qgwA9Up2vAjTcqhC0582UVFUdEtsDSHZ1JfevqvHU5Ctz22nTMIutYJuY3
h72tDi6mnvrjZOe3BcBGqcoOwzjsU26HGnvCxelumtnx5vCusqT/x9yZJcdtrG16K/8GcH6MCeC2
UHORxZmUdIOgRAlDIoHEPOyg19Ub6we0O8JWdxz3uesr2wpLKqKAxPe945e6d+76ov3JFHj1/PKS
+MG9iMGeGqleBbXxGeoVZzihBmfDJRXKNB5qfXF4D9KPcMMZN+Mi83j3mcud54/ILuv4B5F15C8z
2OnmIvPkVPPiJyIOK4y7cc3+Mij1WJv1xUtqRK9T8q4q/81y04dqtp4b5t8F8ye5iuXWrYaZfkPD
3EC/+4oaOsLVdJmQyxW1srmkyBjtcNnEVUCAVU9Ch8t4ZBsBbBbvv8YWtDUaJvXCicK8baK4dkvE
LJRnkfrDod7KctPzb4zU+YWujPxYTfJR3XLkN+jv5xuXgJJllYCygKMXPxMQ+ZInaFRjykU2E6+t
TZVlQPnoMjeNMr6bmfEx2rxPkQgtUbdGJYmPvnVukmq6ScdwbwxU/ja9uiFNhDAcSrsCO/mqXTKP
Y/vbxMWvSM9xtN3zFp73aeHv7br76Q/BaSkIm+tcbKt4TNL4+xCqX4sJgOPbZO8YfGQPB9XGdTbe
Y2kB+wd2/MSodtG0FXNZrFchL+bspLvJCm5FS6WzzQRFrBT5XxqZi5E9FNL/oebmapUG8Q7DPha0
WQ+V+9W0qPHsw1NBBABGs8ntd6qQ5JIYzs4pQf/T5Z4wk+NIKSOogLHN27fES9iKzPFoBJrdZ8iP
houbwfi5FF+C9FE6iDZt/w2TExI8kiYNAk7ZI+jKHrKMI8gMnmwNMjk4D2nokZBuUywZ9K8TJPUs
7tWgb5KUkT8ThTxjWp4WxekbKAqDDB05VdnwpRPuUdIpHQdRajV0SLJlmbM+BE69ScLywZbG64AY
CInorO8DBS/TVo597ACUiOH5FfaCs7j23pqCOCFVg+iCxLOjAAQ1MShMMH3p2YYtysWIZJ3yjdmM
5S6ZIfTSkDUKCvfYWyFCmYX5kz1xT4SeGxHz8tpaRIVQOBBXtTi03Gsi8LZD3Q+RqJY1adNCn4DT
Jmz8CHcOrwKnpqbR4gKzz0VF9iZq7zgxEmyrdnzUChGQBVzUVvPwTcbvlaA3yQ79B9KFzU1Qe8Sh
s59gLKRRmw9LhI4PHhk61c4u7JKEpnc5edMmDmXNARplTtHvM5f427wJQbwTfiZnsl9aFV7LnuUz
9n4BoVxMpYB72+5HI3jMEpKNE5dpUleiJ8VW9QiVB0pemn7axobXISMpUwo8Zv6mPvkulhZYnZil
xePrJ36Bj1ZROVqW+sOSzbcc6PbIm2PXI1ZaQo54yiXaZJuV+XvutPdCsANI5xkKji0UTnCLF6A5
0cL5lqz6O2itTe2xDWWJd9dW0Nbseq7G0cO8ApN9FXSn8EJH/Nvr8ZashGBrSj5KomxFn1BLMUK1
XBW5hCj7gsgoNMhyGuM0wIU1dgM1cp4niWaz5jur9kIUz9NHBiaXLHW+b/CPRY3XfceV62+GzANK
ajX9t71zwKm5zZf63DJs3+uBh7cvzG92k31HYxBHwwQIbOfhh6px9pIQZgaUDhFYHhmCpS4AJxqL
uMFnxfSsVmOrzVzb5iiYTYsAJk4uSlyIqSRXzVytNIWk6Q6vIXYsHpBFsWAUOe8Qr52I/RdcVGKG
xa7IOMDKGHtjRfwcPeHhpo5ja5dTHybyWya0X/mwrtASjVhSAuTF8bhscxzjUUb5ODqVWO3Aq/mO
WGslAMWhVogqNQEmhpk1hDwBmoxUFazyDMBHXHS7cFpEFAcMuc7wUtGS8ED1q9CYAN05uRo+sk5+
djrepWlEAKtRSV7w1gCVOYwO74haDwejMwrsrCXh5IoQ/85CNJiI98TL0BrGxL5o/W5Ta+JAFEek
nA+bLHN/9kIXbNMJXvGMtNWpsnG32QvpKNlztZQFKhuNLXYYiCW0kRXOQA2tSLdOyx3ZF/0On9uP
Ok/NnYP0JKxZZLG/LkTCOSzr03chJb8zkSisepPiXNchQQx3eh0AfYico7R2k7tAZQeTPo89jxc3
5wxG5jVtEEljxu3TktxmifkjLBOf6U2cChsxpQGxt5G+PAEtX1MIAACPhjJDiUkRP2KxTfJtmfYf
2FluZZ3ejTWD5tiXJ8Hb92bp9bnVlB8YRUd2KYkzfrU019YdeKKA+HY9EuraSW9QPdzJmMGvbeRV
EbsS5aR/BNYYjS0PNdAPIjVQo8Xd2KQ0yBhRPf5rAxJ7M0F177u6uHfq8Vrp1eGNqy/ghGeTRVYy
pOYNqMq2mfRbVvdnm8y12UzMddYOSXd8iO/MLOjvYc36TcEXuMbePgsVONtCe7AlC740T/5I+iDA
kn0oM3KfRPiQ1e2Am4M0Xsn0kvWbLKYUxodwHhcSfb0Mj2dX11E2iH7bFegCamHKozSc5M5axKOd
Y+XsGbU3gEnWqfWzhy50x4gbZtMmJZBl+i2LS/qNx/mmsi4yKINrkgNRhzz6a3I+dJnRRNYcbL0Q
6j20cUQKr9uE1VDs7HVUDQLy5eJMrLCrE/mUEzVWU6OMpDfBz1iPm4RoH6+HORrENu6KJytLYcJw
WU5gpRpUFdvCrdVBshONtasyS94GvL2kSfvDzLNXj6zRWQ3q7QP+kw5MT6+BjRLs7L5N5U3rFiO/
bR+gybFieTDLtTSpmVM2vZpiauooSVHhOe1T48FzeFYHnKgMuAb+70ZG3gCZmpIc3LfEjqtl6PmB
3hMHFB60aKK3ojkOtjlEsTnD8k18JEeRJDRT9T6722F5M8NARiqhikPbuE2MVb3KTbypkV1Tqmjz
irJRYtrvC5vcuhr8lJ1AamcQvZ7BV5iiYeMJ+/vCHcpNMWKuWmoQ0mmRH0E6vehsPckZAqVPYiEG
ILSqno4m3C1NzijudforJ4oBZJCEO5GFw8YiEtpvNTyvrCkNl+O+c/3+dsDYaXmQJEW2TaZzp9GO
u9L9IpFYkRaKMmvxi02lZnMz5c0dXYTJMWvTD+o+jUPHBtao/Gdtkx0cNyfaWwwecrI3HRfyAycT
cYqJcc0VPXCQq/owBulL4msAwMFBxanN3Ty7j7PoBl7HKmQNt/dUOLOc0RoHaRh8k1bLchdzK1Vz
am5iX96kZqz3UJJgvs1tb9REn7pUG2ds7LQ9ppeMeC8NlEB2WrfJE8qYUgv6O6Ghg+eZSzkGqFN9
fkF/wUwJpUF3QuWwRPad2Z7zpvtRdqAmCpAT4KZ9yWITTMZKqs3iTg1lJZNFviegr1nCUw4YFC8J
DIVCaz2XFN54tMxunJRVgHt2db9yL2i2mwRg3mseHMsG6ai/hmPRvTZG/4zUiZU+VntC7yQ3v2ts
nXJlq3l6j3Efn7nrOiDJkhCaWEZlzGnQU3S1NYsW2w+TV6iMYhMKw9rDScMdkFW9IcY+oHE4fWoM
4ywqS9ya2v2pM7oAahKANnRvn/OsfAqSVhxrO/g2FCCzgTeUOx0nO1E3xFjPQgIq+V9bBtgxqJ7p
ablDi8RaErzYOSSlS1ii29/NpXz005Cxbq9skka5BDtziEOoKA5+oyKyuwiXa1xvkeghJfo+B56C
gGFDNrLsUTJwqhr4BCqF82K8D0PUyEx6qUHkJ0kue7+yeTn7PSFd/snIqhcZBK9GCVAOA/yiSXcg
/f+CS+pxUNWtqnLyhtJj3Za3tl3gPlc/tBh+4RT/mK36K/A0PvrlyQa13yQGmJYrFuTRQK5DYhW3
iQM0qD132+kqRrLXU+BsWyxubBnMBB0Obk5zCwotLVxwwyYzMavkr3lcPkgzeaWiDfeYvIzN3EAE
jGLTWo95XUuAYMLyijn86fO92tifBzLJUzdmN1O1eRjqK7DqEyopk4wyZvBpMmzezuSKV/SjElhL
RGMBMx3VSrM4CnnMfArlgzo4RaEsKzCZEddzLvwT+SNpZBeOvaNTZ6LkJM2e2xqHArTL2VFDuHN8
yHMFMnVnlZC9FXXpUTbN3aWli0GYaXeNWyZNMWN2czWJOY4vyVJNuy8kZogbv3CfacJUR8WrL2pc
TcrInIXXxBQRv0TSDhW5gq4h1SGlLGElD10/PxeL6105IA4OVXSnPlnzX8I43mdrwLsK+mmnSPA4
5VLvHTraAWoZxX18+Dc5WXIHLyU+KBlNceubL8MmUNZ8EPP05s/MSa0fu1vw3EdYomVvLh7RMotL
C4PeMJS22OsYLpa0wcRBZRv9aZvKNx9lyh4/+uMjtsh+W3pNzF3ZEAUnzKhraaNA19/GEIHA9/BU
I3DLHA4d4hWWcnaHidspI7lioxvjPfcFLK2TfrUZjvw+bEDaeXo6eMKU2TLQQiP6dzFuTEyojiqR
IvBkIsbP4YsQulBw1r41MXrq0QXeyyS1w3FTyH0S9F9CyRC4clNWl5X3c7UHQSqfejM71S0dw5YZ
F4eJkqJLmE7LRk2ZIl2dC5byJiEEwMO4EndbuNOhKfYis5PnJOne6IPEzjC65NoGw0OVLQlg0fQM
KQMMA4EQlHKv0h6lTlEhxy6ym7EmuS0oxXyx6ykA1dYkZifqtUp+GmJaziQYMWRg8LBG3En80cgI
9EhiboudIQjT3QA+ENWkBbHPFtTe8edtzADVdzAXp6lRu4Y39ilI7L0f9/7WM/woDTpv3xhkIE5x
fYxDRlYUfI+60PuCjKCbEX3uBp86sgUEXMDpqIpov8AIJGH2mqm+i3Nlbep2Xq5OT+VYWMdY/hfe
pnlvqVOCp8fJJxAC3HhBMn7kI3yasZiHFMOmtP1VImSjcTRAXRrA2Yqel8tU6WezBY3ygN/OZGBG
oUhQUM0FyFnRwv6mBiKZNN/TZywdxzjp8pUSn5cxDl+cnjiYkEPdSpzwMdEWL2+bGJRR0Mged33k
CRdBLLNDkbcsJn6ebhOmZLIhsisw9nCY0rKMrIXdOU/gknST4tZY4qhee1yUnV9sSyW3igKfowvL
epPT3HWTDCi0XIccfV4oaOcr3v6ZO93ohAhmQW7hJm1hzP3STDfmSMR0YY7E6oI/5nm3IEm7n9Zx
1mpbHLvO/DI2q3mo7p5s56dopOR6phUNOzQRtDEJO6U/k0RsvBIJBI3cgCtO8fxVKlq/eK76fY5r
XCRMyQbVXzdFzU6meO2D1x5D7raj9Wb4wWubiByLLYEdyYpQ93Z2GpIiQAhFpHkF6jPDPRs59qWG
x5/BXxx06vHmqQl9IJf0nmiIfeaFxqFIpAuIso3jwd7ONsm0Qt1xQOT8b3xwJON+ZNbA07XHADvE
ZaQyMl9YvggmKXvQ1OJqinhTDx3BpqY4dT1vOChqJotgBlA2EOtRb+rX5k08lu+TRYT5LE60jZ9m
1zgS09Eeq+DGYSJEfNW+L3rVG6TOe2LxZq4Jubbq4DzRlDSvk2Fu5G++90aWIyiVdzMlcjo72t0k
A6GWecIEGq6yE9sjjdrz0+92ygJZFgnBjv2Ly0apwcGdKrkPjGnZWSPPq9U+mAQUCOIaMz0ioylw
kGUHqnf7aEbnvy+8IT8TWvWYltqBDyS9lAnhhd6RTbfYGYFOTg/qR9h0AYtvVjidYaeOQ4+d1f+S
czLUWcJrhEvIXbOtFhKz0jxVp5ANiiwTuOvMo9lqaCCngxkGOf0SKl5etgsr4XVUfhDnAYzVCZxB
4yFG4oaO2ei3opp3YwPO5VYR2cJkJ1JdytRPbGHs/KLJMjgkvrxLaRvblPOSnHKjnnceuAtQXGnl
WP+E3FJWckCxM9PDyx1qZsB6i0YaNiQhqQcG8JcHhLeQldLnM/SpzHuCQG/GefaeYjlfm3k8snox
xOR3CG+o6azMO8dEgmM53lk6Cpy6k7smbu+hiRgWtedBSnUHg6Cy0gvn7TwZ3ynxZiODcDX7+WbG
icDcFtRb1yp/dY73OFB/buUuQjiEE9t2Tm7SIsQbQcG8bdYl1UOoV1yOh1S8WV7RvqYmGKmseCjM
yWWcwBTReAffJbfUKItgmwbXtinWXjqK2QZzoVECjle1XXyssYuFMb148uS4BbnnfYiHtPKNQ+P6
b6HPXeA51q0oyQT10tQ7yi49ywzCWJQBkhStqQxs0nszqYLNwuy3BAhQCsYJRRXROWzIDaqAURlP
seXNfZPtCUlBBgM1EgzlRenqzO+SFdu55Ug289l4SJkoIjFM5wCLjFrn1j532STl8B6GTE29hJtD
xbexVfoWdBD5ZhNC9xGuhhyCyJls2lutdWek/kDhz7R3OPUuNXgJg4e+9lPO0hHFkyzOk8zfgyJf
E+NYdJ3KieHY8lcVyuzodxO3GUeAqVxznwbiGodoHSwF3GK7DW90kTwzF+P2cYjE0B1CAHJTN65I
L7Wdfpjaz9AQkgpsvxbUoFgp5asQWw7qh/pxHsy7ghN1Dzd9doClIkkw7c43z3EvbMoDCJFbzICp
Ctpty6310UmIXDb89yqWXxqKfncMiz3EAqNS1vrWlsLqw2CE9i5fkJCFsLBhYxPhGfISD9GbH4qY
lKeRvRq9xlWDFCJoAMvVhA9lCoSgNJMHoXya8Bq73WZd9mLVcfKWBeWjacMU22nUD+O0NzsC2kPR
awBGvnY28Z03cTQFaRlfFgHr2Top6Qli/Ip7F99yQXY2X37BhuSN25mJMBoqnrJK4pBKiVJTIdZ1
RZdSbHOuOKjg2CkvjCrdRg12v6WeOPIKPVxID1dEoWz1PN92rhz2IYyFN8cmUzkAt0UG0DSSSjqb
yG2gCST1BnbMs6YtaOoqTr0dthgIGxnzGNPnvhm1d1V+X2xLZ6ET1ymgMiZ1ZZDW26LDS1HkXwg9
espaJFPC64/LEN+S1NVSppbchUpP0SwYGnWMqo6qY2+LF+O9NGJqvA6wC5ZV7VQTQDVx/I3CeHT9
YUA64zxJ2k627kQkjpaDoLqxulhpA/vHSRtjEhJZ+nWOa01X8/itWDKyp4geGaY0ApsnpMusH9zk
aiZQG+UUPgyC0bYYbdRqJtLtxiG3yw/zvZF0Bx2/lilePz8DIaFa+E72lRllFuQaiEkm3XvdBd8r
6d7CviMMIBZiS4ElA4lEDpUr4wA1j+9zITmvrMmnUA7FFdVzA8aOiqkEIuVe2hANiORhTp77OWYx
togLIuYMFslqDlVo3bv9BOeQzNnFVX3+mAj9QEQw61gmqZHOKR3tDH2tzM6GXQCWyJLym+czSGQh
uU50mVPsQUhucjt0+WkmaNqz+vcWsH8zBekZCO29rWf3XDXZM/88qaqevpbpr7BGxkD88VenCpaN
0+LhCsJ2ZMTtnxdUj3QRVS727c6cNBO7jWtXoE/mwqPOJLJeG1FSAwVLx9wCeHH38Q0NCO42Ew7o
UqT7YFqiNC2PzbIKmhrjl+1I+DYGHnrcQ0xuZD43vP2Cb7NH0WBcbX1r+uhEy906sok6wS/G169x
UCCgA+8mkpXripPODM5pGx5nx3gs0K5wEMRVVNO0Qf02XBRNC0QiQSPhtSlLzu/cWHNmnA9jUHsX
s78wc56sda23tHtqVL1zphD18BDXGzAVxU4QHisbu0CFULpyHeM8Z+QsuSkp10h8COV5MYoFuZqV
F2gj0nRbqEY8FDCRxrTyHH53t/g7P3XzZzh4HIlFwh68aLQOKAyERQmFmglFa2emDNX1PFEp16YN
7OEw2gKZc1lcYinusx5QOkno0I4JW3DLLkRqa7xQ27nvBZF1MPLEb6IDBf2wkbWUURXaxVZMnIRc
IqtBJuPgnMQegWQwqDnCEw+fq5/8Ckzds3CaXwzDJAeAgXqq2g9DdXvpj3PUYiFbqndDex++yRym
Sjid0VyOzpiA/KYNvr/hW9V4d52PBhkn2GPrrt9vGOwJ/4zGGYlAU5SUrIhtVxXusVcv3WDyGk83
YZegV+DKbrwcZW079z+SxiMPLByWQ+3+LCbJVUa7zS9s0lXevMafR2E9MmF6zPOKNUhWebQeT7Q6
/MpEfI2Fnsm2mZgPZH/vZpVzCnof6UGiX1fEpx2LLdkRkawXQkrQvcaDfGoXkutQW3+L+RPH0HkZ
A1vupxziIySXcFNavCVlicwgpFjI9ScuGbEakj2CH5UhJ5iC5zhvduaS3iZs9SPJ0VtLZ8yTpOoU
bECme+LO1UjjliLSonmfKzifhQpBx0KvD904HJWVfDNG3BBoACC6nO+xnL4NaATySlOPK51LXjcf
cdW2m55LB/1jXfLCekFs4B8CXbykxlTtPGM6owEg6d2B/TZiAXVJNpTrLW+dJZP9YJHX05jeNZhm
nNQGy12SPQZe/xqujXaSMPa9OWQ0YODhb0aUis1srF1KsKjSyETUh/NdBzfnGIJC9RiIWk4GOgie
9joVD3ZRmQdfUnfX2CRzxamNvt5FuahTNW0rHuiqRVSIxtQ8JjOUXli1W7PNv/q2daWDGuJBie9u
Z7F66Oynu+Z+O5l3aBXDVzDW7BDLc0bG7C0aUbBG7d4O/nG0jGdVQVVTQmuMTbpzsOsnOQOMTjDV
tKytEyAbFOGlaXUNyQsmNFAPR7R3hwp0HpCcz3Raqm4+xook2/J56oIf2hbhWXCzVPy6pxLvCN24
rtvmpWsBlW3n24ifadv34ZthEvSNH4iXGbyTlxlXvgEk6c5yYDqvIUnmd98d7tU0fQuBitDwoAf1
PCpsPXGTGMipU+W/2/Nwdg3fPptTkG9qI5wI8ja/41plipzDZE/0+cE1QgLx42926i3kLS5vGUXq
t4mso8pK5hMOuu1i3C4gYWPMg4trkG1vXM6pzs19afhFJKGB9nFT31ee//if+/H+H1x2/9ay9/+h
024t7/rv/21k+z+MdqfmZ/FefvzXf//X//wfWfPzr1a79Tf+/HTaGeJfJvZ3OA9CEWycbGs0/h9W
O8My/0VQAmkuBNwIfK8OLrg/vXae9y8ncCn1sYXpu7a1WmH/9Np51r/4Xy1e8Ws6m+v43n/itfut
r8xzhS8IvfY+/w7L99zf4xrQUdjhJ/kaGOVTMgf3U7oUh2WS2Fi1411Q3bKxZjU4iw0sH+CYupph
+JPXE+eZ5Z1Hn4q2xGCNTMSwik8rByGGGg9Zc/jL9f3TKPhXY2D49wic9cPyVhG2SyVeQJFu8Fvt
Z1Aos5Q293w+yTtw0mY3pMXZbAPvMpgqBNeUM8jGdD8is9kEMUxdUCNsDYt7QDP9dege0BMCbHfu
t8+fCzsrfJRpAhJYKPcScQ9XsUbT3KMPg+bLpcuJanEQT6mLFE6hNHRsmkZqYtEm7+JzItaGosNt
JNewF8cgb8uTtq270IGycqZMk5uS/WptyPqMMFlUW6MBEzOuhpaYoMYKcmfM1U9hG/LUgK4eyaN1
NrW4tacqP3GUJ5csjZmMrOYtqRHlWZ1Z0VZKQ67XGOFxMeHg287+FsqZSoHUeRg4p08Jf4iq/epa
U4MiSXgPkcMweozihmYblAMcFTjkJL01/kyOfuCwy2sOy8Wj7J1gJ7uxEbJwykRGEtCAmLpRpc9E
BhzhdPxX0nu/mZNkyw9RsvYLycNsOFys9B8SRX7rT/r80gPXFKRts2BTo4wj9a+JhA0WOyPEoxhZ
CI1JQw5HsNUq3gKwtCvK0l5sPbeXrmJhrIWml6RHa8f+Wo/4v4IU2CyOzWlTyuaLmfI+6PhR1FKn
JwabOxB/SjwLgdnDj288Ulv+/T37W/XFnx9fWCFd4RbGWXfN//tLoGIdpKlcbIpcM8tpT1VRLlff
yxGpQOl0ubc6V/DB5bLbzMND2xKxBHeiiWYS10qBOtACyY5mI1XtDRSDFRYJRG//kFnwf/2UZHWY
jvBNjLfmbymEg43ywa5InZ3q5d6oy/XNgihOjCQSz0CNk/m+ZI5NFzCCzqmnxbHxLqxmZDTU8kqr
NK15Sffs+uOVEi91cWK3O/7DlVxzE/6wgq+2Z65kIBxOyvXBxxdser99Rt/MyfLA8oJ7LrX2Qdu/
e72K982aQ9n5ML9M9gypPJKYgNM9vjZeev5NkQNEfV7KGY1mEtDol+UFaYn1g+10wDekLv7nn9S1
1kOV0i8XO/Tvh2pI9HhZZFVUarM7knZqkknmMk761U1Q0sJHvv0PkQaAqs1TqtV5xoixCIRHU5y6
4LrjAZ1CQbxIDTbt1Go7CEpZhhy/z7//qPb6UX67qK7lh+hFXAvPtfvbRZ1aY0YwBMZrtcnH2DKu
l4Or8NmUZcElnL50rUK4aZNKkTPIf29j/EPTDCjnrucUe6WBXDbF7BZsw5wWLVWSa824uZFL8Zb0
YfEPLwHv7wmln7cBuD+VajxODmmtvBr/+kD5VEQ4oTWVEb72X/WonRd6bll/rxihtlUChTUPXwbg
/tfO0pxxrfxVzeCpsGYRG/ewzygcioizptYwED+thd4hh0D2xSoIUtg4XY9yuo4+7/DRXg/5IewR
P4T0hHUx/LJfI6RJquyalYhP0yB5BnU9mLHTHjwB+tdqOyYQRaN7WhPSVaruEVbOe1Ly/ijZCCVw
vGoumUdHngUVagW/0J71j20KPuO5uXdJbWzaRTQZrCT//hv/rf38z+vHURqGVrgOJL+dp1XVycWp
IcTcuawPBcm4lyBzP+01DnwHX+rCXdAj1M/Al46KKkgtRUA+E+WyptczlFoAS+4eLmL+h5S733pL
/vhwvkV4CaOP61IY8vcv1zEa6Ad33WhL9Mm8g4uTSxIvDPLdUFrdfjC94cY27X0wY/1lzQjOWJm7
21m2wz+9eP6ezLp+FkI98XH6hLI6lrXmHfz1RiP6nwyAxFRR2EMZ1qrJ7hZbzidjDl8//4sVns6P
KT+yg87XzrbSyPDMVxozyCBcbxDlFb/GOY/JIihoQ3SLDL6kDvFSNXofxgaV6sF4SrKGoDJh+fux
No5uqdN/eGR4Kv4eqLD+LKFr8ga17ZCHh1Cdv/8sXoKGSeR0RxLOT8JqQ3BQUHjn2TVPduqgDPVI
Ic8WEXCPg/rEpnfBag6mgOxzWh8Cp1u+sNd2u7RCl+2Mnoxqs9f7Ia5spF6RqN3qXMzNpex7sqYS
eWlNS9+PGmcXluNAh/ZlqJC56bDW+8+5q+h4zyElnOk0T7pTu04eTpa9eIFEfpy7PxJS//MRtGos
hnWYKne1eG+bGFldjOg9nZLv9uxk0If+yQ2Hx3BZgju3W6x9UeXvJOT/GBa7ONoBUYdgLjduXZIG
WTkkp8suu7Y5pwIMHakP44qqhkj14Eoi/Ff+bRwocvd4GIRv6K9VWH7Nhyrd1YGSaBqyp3ry26hQ
OB+o1419qMJQj95lNvqM/otokFSiGWDCbhHfJhy8e4QWMOMZ6iprdIh1quTT54A6zkl2zeP2zuf9
h1E2e0vn1sUFZr2BYRh7b6I3OQkNTJDrBcoWdWiCobrF/HG0jZJWdtO9MVsq9Qa4nw02oOqK1eA9
m+ldMbRxh/iPkD0k+J6RMgYqBMIBvlA/rH/wM6Snhaql0JwSHcUyfVFd+UVZEFEF0RaHz68YiYTB
pEuMfsA7LK3K75+fZBzFLZEJMBdMhzOBNyQXUYbkld9d15juKyM2iY6lVSwpW/5eAZtF1ctzG9v9
JZ6ofYBhEjE/kspiMm651HTWUdIa1884pGHVdNgN+65CeWCEPt6kRTbbADc53RDN0U/GduN7oEGB
xR+fpotFQtdA39961uf1/GR2hB8WnXrNCE2nQxa9rUv38YjOiFJp33nCtIWKYzyhlZ33/LD9issr
cLwd8oYY7hGRyNSE4ii5konX7Cl8hHdORr2XLbE58KwGPpLAwmSD3a1uWyL8p/oUUjK61yr3yCcg
J9lBHdUHE18G+Mo0YXIxdJt8GX/Vvqa/hifjMK7LywBWDdqIWd+ozL1PYblbw4/Tu5miovVS3lbI
3FWTuyc0ftk2jeGDkvqHP7hOH43G2cSPGbWe9eNziswHBQrgO1vdYoNKyhGYYl+ritpvQ/NhluC7
1QK+fN7kcdxUT8IM9mlteZdFM82vD/csxRk0/4BB9XZJvIpkCBKCsyLhgWapJAiXB0osHbBv5Sji
oVkhjdSgdUx5yN3mNxup4UlSiIeQ3j+pOPwYBoWas4K0bVLSPWXKjjY75QCy+aVz1UulCRMFmH60
cmLe4MuzzLrJF1IlP6++dmEzNKIZAgiaA6KP+Cmoq3cIBNrl0bFo32+2AExg5Jr26KDxu50/esdk
8UlC1oCYvcMDXzbG1i7Vs6OtVyunGfnz/tNL+RyOprujtAPavlI84SXxRxQwUC3jbpY2q88IwS7C
svTdlOxU3r/V0v/F7nCT49UnLDDclUawQ5U+RUHskUWqkxV6ScX5j6szYQfTIc1h1czBJ1371UYe
cVeQ8Zer/ape/3xM96jDkshrJCXhpu8Dh4YjYRHecgl/1Gj/uynLTxk4/y6JaRnBtvw5/OJ88y69
SeQMEgT0pHP15BAiUpfKeZxb5KzGMN0XyLAQ6oM12TH3ctrUhPN1I/4B9f3z8n+eZEss9lgRrUdf
w8v6Xnzfo8mit3MYNwXRanyGGOWPLfLxdsgqGgY+Z4cc9fTnTSTC+CbULTKmz4eZIll1bXW2zdBH
n6gc2ZfpYawUXvn1TmvWfRZq/vN0rv8XS+fVHaeSRtFfxFqkIrw2TWepJcu2ZL2wdC2LUECR06+f
DZqXmTtzk9QNVV84Zx/ee58RACa+7H2Lw8q4Wru1N0Jl89jrM9IwP/WPEXuaM1toe90RWi2xQ+uN
6womqKY5nwX97d51uLxpIvszZD626thEWHPsINo05zRPyktdz5g8baJIxSKRB0793ecSDHKPQPVF
I6p8e0XQN8ynRqx5V6lJih39/vYiCSs5JZZdhL2dHN1mWsMiWB1g2shnjuvRSPcsfdKwkWS8bn8b
zYe980m8OrYGlAQvxuXRggvJOFf63D57af41w3ldQ9PIGrtu9+92YzrVhAGTkbk3E/trL1N5ST0m
Hi4xFRpzyDwxECHz20VTFh1GDzsAJvEXvwGx+/019NMPP2N7SLzuvAcMmAd0VGHaQrn3uqZ4Kea/
WdnCC52z37hof0q0jxchUbSzhQCA0Br2FZwywksNEHQGdmIq6EpRhu1iORTXaEzaUCfDGOjeU7Pk
w3nx1G2WvX/P0t9mPPoPw9RDrsEc9ey+2SYYxm0SYwwjkpq4cAg+TdVBw/rqwsSA0aiiCxVrCyVW
Q7TkYtd38256alP7I2afStHksNXNFmiWU2mfDcWQxrf8v6mOLMfhtTHh6DvJEoWIdVw8F5y1sQ0h
fOlKAAyeik6CdMQGIz8KPh01SD7QAG1f1UBKepEY6iDrMjpmrFsh4DgXFET2qfA52KfRwMVdjUWI
kZlo4fUVcguT/NTJO9RwlnapwW/qoFedKi0K2mWhnJGIo/wec0OcvQrwGDYyfmgUTczSESOm5gEo
wBXsmx9aposXp8m/rIJdVYKwtdRBDayDga1D354IwQvcNLDg+YQoZnzkgyjfL15cBpmy6EKdIQvI
JhWonvr5zFbdC8q0+ZuqoTz0SKKQ9MBiyFgj5gW90eIt9zkl+HH7p29DADWjq2yQI0oVURpWpMXp
o3FEh0qkTg9BS9dmF9JyWoXuov9Rrjuc7EierIXVRtFP3Y9ItliWZqYKFcqKfM5VaHM6HwUT6zRD
e0QqaLjdk1Vupdchil7ySZzrsjVvtmhDcBvjuZJZ8rKQh5232C3KguQZ2cTv+thP2AvkK96NVQ5H
dS0dDNSJySwy6ZZnEQFQJt7GD4Y832u1IiO+AkKyiCX0beAHphdrnInNecTicMA2joUW1x9y32CM
X9xZWGc+/Zrjzvm9Xdma8WH6ox8w3D0sTBe4UGtAGCxH0VYs6QECKkKMtdbYXl9cqUtop6yqsmna
O4nx47sLtdoRaDXL5Er4yaOoWPy5Vsq6LE6PVtEZe61cq2ckQvuhFPpBQ5F3oFupz9gUmnuOcxpf
52p/wTXNxZYUOIwUmYPf1yW4VYEVYBogNfnaw/e5XS/Jl/ItZBuGW+/Kzh0Cf55luB3Eum9HR3/s
H5uW05KGwjqvZ+rW+4vE/7KSQXtQOWLILIPLso1Y/WwKo9woAsevBsBFGCsIDS8ZGWzFmGN4sC4Y
D5d+fxWIFw7Ifm8sXMJ2SBMyethm5tH4tN3BFqq6XV5YMtguJzEPoen14KNRPluV8g+dGTpofq4q
fYpyHSj9+iMOubzRXu187ob7OnCVSl1NAmmQ4bWkYnVtTeDKYXv32yzyD37GumkybNA5svs5ztiW
a+/Rc0ZYU0RNrgfJNj3YHnfVEA7VL3FIz8okaUxuLHKgulJGwZdrHnF7P0TrldH1MRaH1n3Qf22F
jVCpvESm+tT9RWcAmT65zBuxXSIFGWCp8tADkMaWpgLIVlbYt+Q/VMtv8kDqM5QpDOIDGQIaWjA7
Rw7Rkbtli/mh8lL8XOArD9sXUGPbrQe32Bu6hIdu4E3BzRSHRladtkeQ7Ti31azQ8eqkfpU1g2qG
z91gM4s2HOQYzKF5CQR6woEv5Ty2yXKpLevBZUIRtbl6MOrkL8grrLUknSKGY6qxc6ecgJtF3JnC
/pyH5mojDvg1RemDMds/QYS8a7GbHNjhJkaAW3pAsjfYPxp/GE5m24ME8MFwMaKLdKt6cIvm3gkC
YLSYr2xcjf/26EMt9pAZdiPyHHi2NRVrj2P4LryfNfg+LDnR0XRw82L9+RJomfcl+xiEKMsJ93lH
wh6tGSleyJxQxRp6g4YePN0CVZnuBwjzknig8D1gu4sLbx30eZMaa+wgNoN9I0ZERJi8A8v403cO
g36Ckvex3xtXrWwCgZCM+FwkQcTj4LJoCvAsHrq+9W/JcSRPEqE9EuRgMZb0rEegGTx9ep26uN3b
nvmmFmBYo2UTvc2K1IwpHXHcWPrwT9AZzQwXeNFeSlZ32PwQ7eriP1FTVtbRDFEL/0tqYlmQCIix
u5CHNln1axKVyQX8B8o2MhvjyrWOVHt5ILzm4rUa25PsZkI9tq55iROtNfmb2fPWAUDtPIMsTpsY
p3VEP7bGtfnoBmdSdop2TEJdxe+m0L/saWivKQIyFvLiwDvh7+fUXO0L6/1sCW7AKD2ZLNJXAF12
sF1UPDxfEAXFzmmKKuxiouzs+FaYRJzMucP4jja9wrMEHxHe1lg3drgsLJORBY+d/MHg4itTak1y
wAhWM/oNNYzoFc1U4MdegFY7YkVjfHjeDHcePpVnD9plqfw/CRpG3LXpHDQNWSVWw1OHAK9CkAye
lILVGvsrOj7QH0h0ehr10sM+Y2ctTqJxP02lxsp/RXr56R9n0H9j6J5SWquIooWZ/7krSegwbSY7
KrFOVSRXJR89f+f6+2bxkGovyWtNJIBu5vMJOxOU/fE/MlFtgBAUmbUBjIRndCC35mS1DvoAIIFl
hi5R6VcHDu2+IOPtyWqgLEzqi25XXiMq9CYr707eibDT039Jre3UmPuoowD2THqaEfpL4FGdM96A
i5ObbN9xDLxrg4+rcpp2UiRjgBMhBijBX3vkBwab511LklDygRGkVx2nGKMCE0Oa+fh15HeZMfCe
lY2tt8czKjoaDfvHIgJh9/NDk1aXdPyK5vboNM3zQIZiQeGw60yFNyGSVwQTRLsbhqbfGH++OH75
Y/bPyar06Ivly53WQ7uPpl3hiBfXjy6ilPm59/hiatmfM1jP0k0+u1p3ToIhkWngXeJlAZagGBo0
uv/fKOxfNSgb9Cne60q41GO4nPkfIYgq80v/o8+j37GFzMfxonNULKDApHumVvqFwdqCeTT91D3z
yedSiorsmQLzAfPef8SFjigS/EvdSywNFakCxrgC8tjou65+WLwEzQ1MXcC4yKtEKX5PRoZ1oT8M
Lm0TOst7lFRfXN13uRrTmR853MJtuTNdlA/9Gk5FhlMDbkwm6jlZkgiaFfkcqEWocYdo70gd57rZ
/ibB79Csxk1ENtG+WHFmY5db+zhmbpxiO6kExX1p1h+mUE7IVNvZc228FGWFBKoZtdCmRuUwpypL
bO/3MEanqAKppqXT2eHJySLv6NXJrYnkl+1ncrdkxkuTkTFQo/iuneFBzd5n7xAUGHV0ZohYv2IJ
yQ67zrAHPIUoFm05IjOk4slKsUx17YVtG0E0S3ONbWSBXdU6BA42j0gxz8TwOuSFU81UbiVCURrj
UWuv+VK4+84GFaTJN6uGxYSrnHLdR4GSUSZAc3qdJ3u+2igXq8V2TmAQg3IyYCPbTBa/mvUo81bI
S+Igy+969ci3zUiW5pUSBVIkIHAY8dBQp61VrCTGAK+6FOMFO7oHGoLEP4sk26iNfrGRn8KuThkY
5QYw2ByKy0AEU4SuO0dosiuW6m2Vo54o379M88U08YzTk5gh8EflNu9qRA6cOti1ZX3W24hVA70y
FkE1Y0ucjqUch4MV4xlpivguTZc0BM7Z3vXeUry1LFtTSI9LgKT43FrWE/XG6vAs0x2F5MV3kxy6
i/XAnDlEeo2Hp5/HkM14u69ydtyqfsJoQvdeIFt2QUwH5sSF3yDatVumAK5VftlDdy+9Q1cxq4na
rAx6Y9+EfIn7tOi1E0Itcszn8SV3dQmNcoZsytSwhSxCD46LTE2YbOmi+GgqjreuQdxbgzfVhTgO
gtwU6iFY9mhVl2H4L9PHcRe7ZCaNLBeK7gdz7EcoiSfRSpTqkpZbOiYivsHGrNu84SMGgGKqi4sL
6IQY56RVz6QmLyejLL/IloNHUH3MWfWz6dKvzC8EYB5yWk2NPDD0GORIm7oBBxzvp5OLKmzsf0w2
02fl4nwg9dZ1mJWlmL6yC7JQZn2siywN33vmfBQeJ9qozB+AQYrA675QF7x3I0rCwUBcqDtsleyF
lFnf4fSNiLUa+xp3b/nLByV3jZK77mN8Z068hFObhK2Wvy9dgVG/I3HSiSbcGCRNlwY2bF4BYqJJ
/AuEE3F8oAzTCZ6StdzNqADQXI4022J85q6Ed2yL3+iKLDyZA4VUIS6154cUw5wuNvtyAEW3ytOx
Ebj81MJjik50q0NYhfTmf+PypumohwSMjjm6LOgAQjEK8BugKXhY0npvkh3VMxwYEQoc5Kpkrq4u
BNcbrBEqyLh/0GzKGqc0bTwbNptV8ZuVR74b4poDtFuI7ooutVZ2+xlkRrDEtgwj5P+UbEvoOlgY
psgMDK0xcL+gogaoB00OedpkOc+DfXeGE1Si/2TS/YtN+3kuSXGtlfcKWnPYj/YAH+NKFjDQo7RH
vD8W1smcMUPHJvrVGL1jBaSArCmWW7qO2W4n70pZ1SPgXAOGSJ6QBhGVO4eaOTB/KCNaeCUYRGia
AdaD+SPILpHvxT3h9md/nHBUQQwh4W2EHr3mT6ekE6AbpA6rHf1SJc1nP6QLAi7tqaghx/mwO9wk
LYiLyaFjaT9klUKMrO0vLOIdXL74Ksscz7G7fFA2YdnCvzl59atNokFQZB2JT4P617gQ0Tyl6+GI
iLy0Z8xtI8WLBjMFixMqy2wEKJAAvhsb/SPro+WoucTSLfA9BbE3HHZoDCF/yfqj8s64kMYw6lb1
YqxDkJZhhxmnKqAietjnFuSBTIajGaqG15KNkZ8Ma/y71OaLTXjvUkNCtGKGAG0sOKw4r924/T20
jPmSF9TLF5sCDKhptaf/x61RR2pH8IW9syogkgJEKtBdC3+zQZ9g+/pesk2YJSVrVBCiBrDlPgHU
2wNjE8Wc/UmS9FzVcOWSJH52fCAv8pdBJNhF4bwfqtwJXHNpdl4vqZ7rltmoHk3sBJzmaHgjuV9D
4/5ccKRcFH7jXbv+T7bgABe8+nn7k2w//Zcuu1kt0AEEQuXZzeHhbH9lo1bmVW63sIWXKagpbJ7a
9T8aCd0IfWtzygbferL8xX4CiBhD+mjDaRqns4n0+mc5JuO+BZmfppSKGcIq8CncQ1sfq+cccb77
4LvWoSbxuUFbfeFwHgHJLhCE5aoTiaLohBsGeCShTeOSF0fCo9Ists/mXL0lbukjGqcZaJ0Y92GO
6yzBrb/LKihca1ffz6RD4qC9R71wkbHj0PcsiBnZVJJLjKWiw4VKVfLkDxBDjXweD1vWd7na1rfF
N0tkLDhXN+JImqelORfZhBdfqvoo4YHsZVsDL4jQOXAtyQX50VzbuBxAaobD2oxKyFWhzv/1rXYq
PlIrzY6UuJIWZkEPXVsj5DgqYmCEvuRDzB1AP3yI4Jdt0M/s+3BPO9I+LQXZLl3zi4tp056t7X8x
WSsdFsG0X6Fg8grCyEg//zPACsQaxZsffdBGAXNlbMb0YUSSoaarHCZxwIY9HTFAhoPhcFO3n3GD
PbjyXOJbJkxlZjKTnWj3QUlwA1SVIb2dzNQTZ2dMGDwP0b/FtLgx+qYN445CXPUcj7Y0yluigbxw
NQKOWocf3waCS6zZXD+ZjYZkOEEDPs8/GmKHj7GPCi/vul8Ub+lQYzYfTRPZTXYnoTX97U2vNARs
wOx0YZGVPcAz/Gxymn4/b940rx+frY5nexsrVfT2Eswm7OPmwZ7BPeipeYkX81clO/+xqpP66PjZ
v26WE+gQODG+27uXZXolpeb/2ymvFTYGXZjw0mZDk0Q+PKekf9jm8LMTGwxeE/e8zSO2qU+ZIphw
I8I1bJvkLURyxT7T9EfVWrSXIj3Hic0CcJ1oG0XLI4yx897K1Y80t4FdGwWskHjipxir78c2Tugd
RluejFHLDmR3EJjSv2WYjH920n2kj3QfFi5xitGUehqy9UnNBVQRPyZHEbB/sFgVV0L05TNaJyM8
8GL23Nj9kyaeH4ba4ynQYNsOTgd3FRXfLTfp/2N4IJTkyaWKsfKsDzOLuelJmt1bKo2fELXQZy/z
ckpt74vRN6lpk7xui7rKYq0AqfsMJQKvFWag7xGoB6OEPpbyJm6sT1RNFo4Exjmb9CvrFIsDuSYY
+C7xOkyp8x4shGpJUhuTF0+6ZKRbyQqjb7mOsFByYfBbUzeDoGEriE0PT2jlZGHnAwMUFUwZ5lt7
EuZ7Pj0YI6vETGTZwl8gaQVBrDB1YJoRZGWtgjYdbt9CRcXoFcg3vCA7gsayzs4r7KqR4YlLw6a0
S/sfFJH+qVuVlD6fx0UDuF6NRPjJKQPMI1rzwCwWzfNCKTC3sxF6HLhBXzZqT1BLjoVGUs/3TC81
gX/Gw70a5TmVDWH2u3Rmz2vpzXp7s19HXIByoqJlzxqsjNL91xn6U4JZ4ZYLoo9cpwQI0a6POL5p
d9VakR0w7mPpQ/eab4JIlANsv9e2BAhFsUxvkejPNrvmcw54ILCr+qlDhXjVG/vRxv/qLaN/7nwt
CZiFsS+Ak0QGg3R+rGNRM2mycyIZdmPZcI9pa301necdnamfTym44iiJskPVVMkNueofFy/XowHy
OzHe0sU077MZoVXvxfgtrmIOVe9UR5p8sc6woxgZvK9ArbmznRJ2S8DyMEvYtijbaZdO0ayIpoMh
wW0+5k8idUB5ZzgbM05fPJuHDGf/etyy0a0AInGhLzliqch+dksTKsJ6G7jvCavaqzJVclGee2tq
xFAS1U83OjbHeXkRq77SbcG+N6zhc8gU3Txm1y49a55XXGnteTx87x6tic6YXO/9UoWZgBM2WCvB
YsUujgxLPdwMLVSWXe1od89qPreHBieUCpq4/sXs/jUeit/+CFzs+01ofOjulVaHzQrJqpLqYvfu
Y5I2qLxquL0voM/Il86jV0CB1aVfzxAtxmRkIbg9TQwBgtqyXy0PfInQ5vpglF116PDuzh5eKcaq
/5+J+y0FaVqtye8Fl61jg0sRNttL5RXevhP/mey1r3jbT3pUtOec5WQusWKWDj03zbc4iiEXcGnc
BzHjvmyqCBMZr9w21C4l4gcTcPjdqpbnxDE/MITJR9dI+0sJ8uX7S2JoigV/HAiwZxVSrttKe8l+
Gt1Q4jttPq02PaUeeH/F6tv2jRcn7euzNWMIKCbDxHfjufvWNuOntFOfnnHZpAr4T1ZWg63fvAR8
Hgn3hCF3MN5j7V+Gq/EEWP4ZncnsWcwnU3IOKxxN8chwIG6wjOYd1+Sc9i5x82g0YttTh5gKJtYl
PRlRpaFZ44OTcwZIhWHwSTTdW8679mwI4itqCA9lj/QY8/IZ3rhxG2b7YZKtRqKq96FK53l7CtBv
iWsmizdTiZ9YGPa1LRFbyOK/eBglKRAXJfqRuWf9t2hsJxiyctm3xHftJgR+uqX/7PiG+DRhBiWu
jdQGGnofIcAYI1TOaaKXe418GgWXRpt3lutJjEnRrbSQi9ReFxqmLq+AdLczqFsZkFa0zBjK1bKX
uIExbE//llF+VU5iBTWKK4pu1s4J0oyQJRWIh7WC2y40MEdNyHbonBf1fStKVKs1pBQCGu2VN8IO
Q1xdmMgNvaLsTn7HVszj3NBX4VWTgkn15694jOI/Oq/SJkXcCqXtmN+ui6qvvwzPG57GmVUJWSCD
8qLnwgbxg6/NO2rZAFanF1fZQIT2S2az+JxDUtv4QZco3YsI116XxyL0epz2eaXepnaGIYw6Wri2
H1Yi+dM75fb5ZmSlejBQ9tt3VXiedSKj/mzDE2YnXDxvx9WySlkSq9wDBjIgr8me4Qdb/VJAl2B1
shtErSBjZa/bPfItoEcZpb0baapdNLn8WRAoUNBpnKBrYeAKIjIE/Ix76Zt//JmZmu73p5EMLex6
qXaKSDJktg/LR5vTHehV/RgNyWeKt67BRQfgvnmMILg+9o7/z3O085DZPzXi4XSkLIheZYVF1697
LdTj3mcLaGMSWA9Mt8MVmzecuKPds2OmMrOjYf6dwhE8bOLSTbUndO1H4httMDGVOY75PN37bBWH
rsyplgdrKClB6Z0zxhEAF0hhif5t+8l+XdpXY/M5pQAvRo+5h9bcYjCnh9R1ngaDz+BbNURBoeAP
XB38pjs8U1MAoXAGkqSNgNbjRz9O2kOuaUNAd4/mdH1LuWPiI3bmuxpfzbkFo01NuiuamsBcdpW2
z/a/7HJ1RabNCnAVc3d9x8ZjAETSyVkLty+ht5g3jb79a4wRQGZjE46VWQYxbs3tz69XoPrbVjED
sH61Iq71gUNpcmjcKA1Rf4xwcPLk0Rwhx15JX1ttE+o0FGuwSsJpu63y854yB9rx3Z7cSxcjzLWW
hvDbJbtv/8QYMdSxhGdZ9hHTmZQlj6pjQBQ4T04OdsoDmNCKiJXDhMuKvglaaYLLk3qTm4AhGGtR
nkjmTfmjNs3Hcam1CyqOR3Tmv6wYdnCsNCy5xRrfIinvUMXZI+HE2xftTFl3cydWM9Z60E1JdTLr
WQWGabkMspqzVOYA5GXQKDLRQPIgbF3WVnrz3UgOU/UBhXKEwQfxQiZgiBZBAQkdmH8hkceq9d+U
Kl56PBePpYsMrQarc5XuyjyeGOrrvKYZxwGEvboNkAQ2h0qoR4Ig7H3Nx7hZNxZCapdEZ8SR1+5V
4yx+zDOeRNqy6jAW/iWNZRw0DP7227enrI4/WUTLjuk+Ieyr9NxeXmamG08lP2jvNSnRClq6J+KA
YboAF76VkXHALsgIhnnWHuWQEHdunPUU+OhWa5SawAooUC1WC7sctXxu4vsRpWeo7PQGL3utPr2V
OwFu+rB9qkYO8VmbhruLulRqhHO5KOy8xcZOKoEj14Y9X4QNlm2C/4KU4hmff3oxq+o1G2xio+v3
hNRWwx4Aqa9vAK83Bl0kMCFCsCLQ7AK2G7Q71jLvNdmCx+2v8ukVtZUvtilngAbjTZ1Z5FJ4kQ01
vvgSAM3W4hSrMCLTLIAV8Uj8KOreuC+PtZBkb9f+jTmOf/eyZyGFCtyuYmDrE7bbMhvd3siZQLDR
dwNlwb3dbszivGiZc9xO8zhrevpzv71gkE9Jii6udk0w0OSXL1t3OnGBMWGM0AmN+GwhEX2MGr/m
t5DW2OuW7K7bybXdI3PliCP0ChsVw8y/eHHPjl7TWiX4kvPyg7mxde7rceaOYMZupfHJNOMUkVA/
HrbjYBPncnwd9ZpAUUNMYT2Ivx5xwoPWw2JN3WDqiELsbSLIKzUCr8oNG5UGbnLSw97IuOy5aEAo
Ii+FDKvOFlY2PDkswhMA0ccspgghzABDdeyxYkzhp9OkvgrfAoPp0Rk3DmJcnnXrOA7JY2bVz9uT
rFfqZCp+KsZYP1ISir5brVhTO91tEL821+/FtsYMvjfB/K1+qO1LsFm2MrcOfeWaVzRUmL0lmWgZ
rxgqQi00wfDtGi93jtC74EVH1XkYkh9uPTwSiWSGUcsu0kund8NIrMOmgkWKbf6IIy90O7jvppWg
jsv9KzJYQnVcSPDr2ZqDIwy7ynzejpfMleAEPFcjuorVT5LlvPMlUtJGvettX560VrceijzbV6vA
ReTq011VvXY68Hj2pheWcaIuusVeqLTGB38+W9BqtmcyXytmd+3atzfVkeMU9DaTPtcFVuxIF/+9
jTaxXrtNtYrZmjo9oY8gDCKdfvvwyIK8p9DMukmiHKEcIcr3M1c1gknBnK8xGMbFzkxi6VR8MZfn
t1v/qJz9J/aQHJI+5W/Ulv/EmopmsdtjGTbvdPM/tf42hF79SrJuJqoXt7Ki46F0hCXctR/bK+as
Rfd6ryyI1dPR+qg4gUDDsxbeLHweb+pVf6ImRjhcq+pUZthohkxp+wYeJGg+OV9nICIuZ8GFwfFb
Q/pIK+J/6HPZ/U78UwEm3gqky3urMfcJVJabZoDgHeLmIcXIXinjb6zpKLt7tjvbjb8wT9gBYSdK
HRQNVCuNZlUrH6bIba7WBNJJN8hLsyrxjNz2pxxJEY0njOIFMhjkugh8uiZ/WmT2lyVM/kjAHBQt
+HMsVyCc+tWvhjf2MDZYfjXS2qVjXWwIEKH0jOyk06LuYsv4S1gJAyN00FR8JEbkhQciALDu3iFM
9hGkFuIrG46udL4IC9q38ZiHLZbvcFERM+dV/r0qMr8PDaHjQG+nJnAi483OWdkwznP2psvKi4gA
6MQMx+kXmY0lIC2OhW74Qbx07Bh5/JH5RKssDjwAw9b90EiOCd9isrPqslYf1irQ9IiRb0lygCgq
x9OQ7GXtgCheNcxxVyDGj6DyDPbfYor8O9FTDGNQpHa9sRt6hHDVVHhH5rZOUIIhCr7bRdX8v9Co
/PRT1Jr9pLJ3JCBkSiSyOonys056DOJ2AhFPxYxSCrApS9s9z93yR7PIA8h8JlKmawbC6pOXzgZM
DyN6q8s0sz1YBGrsAPKhDXNKtklG8SNPQNj1FrD22s7f/RHHxqJHL7Ypgq6p1UPfq7CXBb8WUWu7
ERUok/Tq2BUEPfXGeCNuxbss9fzWKpU8UJLIAKWeqpMX+4JZyjsXhgQAbTXo2EaS85CQX4uZKN9l
JMfIZNpqcTfVE/1Vs1SgzeXznODQyd3n2RAR8vxhOC7m+MPkQH5sC36JNctg/fK0LCbWsEE4w/Sx
PZJrSNeMNNWMajpp9qqzXOBjUS1eskvVrzkn2AE5hDhYOV1vBCb2Tn/uExE/4fV0xEMJw5kUAGo4
L9MI4IL9Vwg3uRua8C/fOtNN84+cCuHhMOn+WdRRelEsJaC2hWVqfTJ5NMOGK5SOlRULOyvkgKSk
cMhQqU2yR8PkdkiKzPmi8zEeM2V4lwh1zcWBSaDhgbzUrlfeTF/hyKHC6azpRSci587HWbGZg+Jl
IuMg2WHE1zF476lv5edk4orl8YOdRBpRr7i0vSm+RIAcuhb8j9Z2Mfz58hwBRyDHIiLYaFWybVdP
UzbtRdCLB06nYXdbu+VEfEwMNR5qhtGH1nCAI46ostfkiu3v8ZlanJsYgfD21Ez9SV+QUNaF+/49
IGujTy+qjilCpetWDneEeSHP1PZeg65iGUnGcpwaKVPCsjaqYnIMnxAKFudNQlh68XjNhyW9EdUC
f3OejpXuTKfciIhPxyGQIRDyzeg/Q68wes3GaXbFV+alFumYHO/TYt6bSrlPhVYfGr3HY5EhoI79
+N6RRmjVT9tTZLU+ykpdUbd36DfdqMwuuVsF+TqsLH9jrn1HKuG+DJLJyTQUZ0YoLbRcpgpT9U9T
17EcUjTwsjgrxoy2hyzetW3kmejSDk3aAQBafLHn22/Kub9MyJmVRkpYQp7z9/PaFGyErexhbCNU
VLH52a8XezOot2IAZPudXdRnRzLVsquS5jPmH7oIBE/bWZR20V53Y/tg+RVBI6btHXOqL8rWCD3h
bhNzb5VqjxP4lGfxr9ausXCZ8nH7oJO+J1FkGv740gUbIdL6Bho1yFbTKfEp/rWiRIGel75A/787
TElJPj8bApL5NodMJ9Ec2Ri9bNbeFOeQ39HMots/bqNr3XB2QEfOnuqY5zraFGz1XEkMVIAilsHg
Nk8ipQkJKe56kA9Qt/OFdCH2tYasvk2JXb1k9AMzm/vE6S8WEEZXb9kl5PDdsM9hdbczTBzGfF43
JVaFOkLg4j5HAuXZdsRuv67s9MvEfjCEuKOffF2EyL1I+bPEdIr9oXhg7PcbWAVxndQgqD9HFAlK
HZbCIlGrrX4tOXv5qD/Z/LgXlEKvybSW9PRQYRfFyd20Ph2QVpdU5X/HfJHoslhTRMZ/qNnq768c
Ahe8/RECEKPk8lbqEPFZ9u01pnFh33+YBXL5rbyTvYEiwkigw+Fkxrzkxw8iVpd59Mubg500WNrk
hr2QKABQJ6QT6veo/SEUn525zgQR4r2nxDMkjLEH1VmnwWvKYOtN8CoGyhPaNVkFV7JhIbWOoiN0
kYTeIT8YCA3hXgkwQfzZDpduPV8Z/RI/qcUIodeGRMm3ZE7UI/+NjeNnMS6KQ52XpS0wK292fDN1
gcxIBekysi5V9u3GaNEJkkFR+nuWlZD0cjGHvoW6w9EsVvjRbfsAEBSkj9sfNYOOZlfS7wyo7p00
957Qyb/4vSsv/Zzc3Gi0r048O9etDqAjUNcK7RFcbnq2UQ3FBcXuVUr42uH2PNSDtd8qUCSPe8OE
WTbq/QI001G3xVaPJl6vo4Ynhr0z74jvLi9ND3rAKC+GazI6zmp52HYm2xUb6frwOOHJZ5mSiaCZ
uk9eyYF6qBjPMhluykNKlPCp0sOhou8oafwKzU/lpvttPECy0lm1BGMwcqvR7LHdE5A3OamZ95eJ
gO22loFIH25+2kbkiOg3qwP7vY3oWpQ/YnlXk7938QD+UYQ5ppk+Ew8MsnP0iVxg4Zt1BhSFLGV1
whggmHojP3ti+ufFMepInqPS1y3YeYv7XK3SdoM7Mhvr5FoqrhGYNWTo2taRYOE2WJaFpAzfbm5I
3vdbeU/oYXKyXHZ1qbuctlnB0AgDKn/9xNbfJ1txfRIjk9XpkOx63ecm1bL0MCQIaephhnZt9+qK
KiF9XGjbkIygKJtKyz4D9v+31VgaXNljP0VNUOlNixm+kwcQ2E/bGDHxQaeJpSJPCbd2zITuu6Op
O8hAedOeWDW8Iyip2NwI5oj46cFIskLIIlh5yAeMndl38AATcY27Bt0V8aEk1/DD8fs4PZwzyCGO
iv8y5zR/yZWRD35s5y7oaawhpdPSl5n5+0izvrSXOnJgC7B5SbXsaRtQDNCgn6Z4uP+PuzNZjhvZ
su2/1BzX0Ddm79Ug+p6MYLDTBCZREvrWATiAr38LYFrdlPJaptX0TWhiKilGBAB3P+fsvXbZN/pq
bBQS13pFI1nJbI/OyEF89v7Bis+x1kPSqjzriKIxWo1h8z7vpRl9sZ2Mo27lD8wdohw4vh5GSJvo
WyWpeXE5RVljoz972VYjbKl12LAmVghLmEEMHn/jZD89MjBigOObvMCAFolYObgt1nxSGbCVu7SD
r0bcBGi2adsVfcV/YB6iewEE2IThkNbjA6GBkEeEO0VQ6W5mIN2NmOYvIquJbmZdboX8FmgKPrqG
1R5Ao0BQTYRYF5DMZkpbZejFjL8WGg1JjlobpU/voci/M5K0Fo067BxL3TeSC1P0MueoheI9Ll5x
/5NzmiveKQ+/lUG9rQHwL9l31aeiztSngNovo6GlliTetF7AoUuoPWQt726phjyA5+/WBcDNJVMV
oCge7WJpYJPjiF6feshQs3OgFFyBiS8CHZGEdLXFNIk1G9l6pR5rsImXkFY6w1SW4Olc2lXBrcHu
jZgNC/FQupfQcyjsJk16h1nuEFsVNZgYvgg53iM/PTe294V8TQbnbtQtCz99692OPEEFeiAD1S8y
KJp90IVyY4XigQbrYeSDWNiZHayVkcpP70EBGlNknlDtdAvwHzZ5VfP/jsQ6qzYDRD2o3VMxvW4r
A7tvu6seoipTk5jaaYAlllryGDWag2g4voZ57D1k3wwX2l+iMa00mW0Ypti0re0fo3tWD+2+BKcN
sxNZBGBRxsEyewvNstjglvnpe3W/LlIVoRSXyHSPegwtzfaC/CfOF2tHv9g9YRpayaB8qslw2070
Tlt3nCdDzao9g/fzvK9WonToM7iPTKWCM20EQAJO3fD0ewzNbH0nRvUgSEa8zTddLod8zVV4zZjZ
nmqw0QeLjMyVXQqN/HWSMnKwDyziBgYh4rAm0XuYRsA9Un+bOsMFYS/vOIOlPpDJp3GSW5uBNq5r
pjNX62yOQGaNPnlFuPmBAEQ8dGj0y8AdDg6o0+XYKhH1INVnqKxRpmHK0UrCHae7ppcTlGda16CP
gyuMBzT2Uw9Tq1D5Gvn4dZy8cnN5atmM+PqCiR/kB0Jma/wCZlweXFS/Vq4az2aqfUmH8onMqGaL
tyda07byoJzKYhsYqYZYWMdIKtIXrddPmlUxdKr0DzU0412jNz3/SrkRit0+MpfWr3WnM6PU8rUp
nS+B4gIsBfEQl+YRUijOWVZYFNboGc0irhca2WDHcbQPhUB6FQx5zqKK1V1RSX7VBtVZ6igUeBJQ
4U9PDhYypjYxEynICmNIcEk8ah9aI1EyJogb6oEbObBYj2zaVoTsECjASSSvkRw77a6A2bnXVe8j
sQaEvKZ8cgdiRFBrzwfQOhSvbuXUh9YkCtJG5sHP1dfEKOTJZIY7IIknop18BW5TICkt+5vWOOJI
gXTtBiG3dp6BJk+nGBCDRPQeo8TOgXq6AAqurjHpJ0dLNpBhe7tZizyrTzHJdNHenM5dtZNVB64q
rvIwKfAsSOTJunt12q8okIotvhViGxXtaLvMKpMG2MRUn8wgpjwtn0sf+2nM5roqQ6CsXsfS5McO
3Z6EZAzeN0NGxGPZPfXcfk/8LorwCYTtymg9xBauq05w3bqGV+rKeqcExEWVkRmsUflidCjp1Kel
2T0oXemvpOV8nUeBhhH/cBB7HhKre54HAorkMWw1UZ5YNVdFw4On4u1eGUqOSMDW90Tb+dy7E/RO
KMSREqgZ+Dh58egVPIfBN9MRxW40CDKYm3Z5RAJYbHU/ZcrLYpoAx1sJNkNOWiXzMR0i1sEbEemU
FnhFTuDepqqyh9zUna1R5rfZRa9hE58LTrvyH2y6Z7eYWf60ndWkmchpOmhEDE6zITU2eElONGfx
FE2WbVZK9A5MWTU2kl0JfpbTqswPDcptBtaoV5v4zYvTdBvbOLJzIkKmH8v04dXXiFMoON5mifAv
uQGhiRxhQjarrjujP1S/AY0IF03D/LnKuVPw2fehTTlv1u2LxPmwjNL8yR+Y1qJhZuFI3Y2Zqimm
QLxz8xvqdc7ntm9Wy8aDQl8aiGVbbNnJIJ5SwzIvNnj6tWxIgEIJepxC0s5+SPtZ9lpP9bra+sz0
z9hbuSBVaRE8656Ia0vOtSnNZdgynyM/1tqGao9fc9qdMbm1Vy3bwkU9iIgLbBXSODI2PA5GET5V
inLyCdklxZOGnNm2zeNg8dZr3wHnYd18Abek1mtj1cQd0xm7FzTSkGnWxsAjidjg2+c+h8Ia039F
ZggUSsKf0UTO+1E+CuD20z/J3t0yz29hDDD2InEsW/f+6D0QJ7U0JsWTyVNrJAFcQRaVnQLOZwUR
iUyBqWXsqteZvAEsxd4jWKVrNTQmBAqY5HaPYhNMeooYceFUGNFSFYE8E61krybYu0Jvom92cbXD
cpHZxWuJNCh3AC5y2T4VH10fHzRTLQ+a0tzrzsXOwaaFJ9k4pC7jquGtdpvhwVXr23xSJhiPMQY0
RXJHSMQhgsrZtMTvrcMR1VIS/gTgBvbYIsCuwDGxMYeF2RMUrRP3lGJrYsTJ9Oq//k3t+w9Uuf/A
nEHNqWPogKvHHTmzU/5E6AJoIfuaDX6pCywdIjM5j1e1cc5yWeBz4fTiOS7dbZ1epWzI2akHNdo6
ctSOxSfjamIboi3448WIGSn4UQCapkZvfvv2v8/RRw2g4Gfzf35BIv76Q//9/yFuUZuoZH/DW2y+
ptHXP2MW5x/45Cxq7r8sFcgNIgl4iyYChP/6A7No/8vWkKF4tmEZmukx4vkfyqLp/Esla1tlaG4a
FpAcCD+iaJvw//6XYf0L8o9HTjnkuWlFNf9XlMWJSfVvypZD68awbNNSQRqplu78jjUqrIyoV486
fizI3kusd2BrnKoCiaMvGBEt5xmHMOMOXt3JnWJZEqdEfp+9dVrz1cWTrrfyqTbH7SiDH4Jkuv8d
/4273vVoeNFJgHVkm/TmfuUDxTKYchoNVNo27tGY6OCdk7vlDgh2SteOcMWCGFZgiIO77nxxCIv4
A8RZ+0QU2bBH61GRVMICBejZPPAE+cuAf2RflOLnn675f3haf8N/8Uo9ldQk3bY05oU61/zXV5qq
0xW0KobWXg+YJ3Dex3Doz4XNjhCiItzHQX0dSmVkZ3bt1xllhK6lWpqSaQlCMH2nhSogphYMRVbl
VytNdyYq6nXRlsOXOpA7vXz3RQ+fwLbErTHKezCBMLXWpZsdZyLaNt7wrcL9H6ZTS7AKdXvrh1HO
CUC0D654A29l3/sqbjYYZM6OObhHWPbKpjKCjDTLmvmNQ5Z3hAZvpZIrcRC981Np3Pbxkz0Al4xp
uDnKJyWmEV6l44ZDa42tOm7/iVU3Xdk/3ZrT5+kxpOSRcVWdqu23Kz8qeskBcwrzgRUk2xhtdMIy
6NF83SQunc7I93Dd+ftmyLVTVFv3gapnF2vg0vzYHq4OwTx/f4313x4XXpPJs+1Rrqq2of2FmYiX
SbRdBli+x2XHZBXhbwZnZAM1M1uoTfHe9Ob4+DlpiCQZpaXJ6X52bc+1u+522tFIYu2QJda+sNR3
V0rvzYwLQVOs+PBL0z42PSYgF4wpGIBYX2h6Eu7bjm6zRuzlQpYiPeZGEv0DcE/7FV833b+aYQDu
d22isqdl4df7t0pqDQkpUiZjEhHLWulP+Ti+lP3YXGSjKue8XwXpaN+6pPw5QpdB19cNX7JCfS1a
Tf0nGtxfX46rGS4vy/GI5dWd315OXtU6QzyGnaIqX0yXgWipDaQThsE3QkuWvQGnOs/a4dn1v5pS
IdWLudkmN7CLZYVVr/7+yk/suV9vRpfjguPqhsvRnwXp1w8HcpJdFELj93sZNPyw09Y6z+gj5Mbs
0dTiR6+nA/L3v/M39iWLv+6wBTiaPj0BHvfdr7906MY4ZrGZwjLzZ8VKWEwM3CWfHMRmaEcaQmaz
DydNIGk4HXr7mrQ+3aBcSt/g9GSnFF7vtTK1Nxhw/j7URgYESO3+YZXWp1fy54+HVzqdT2gLu4bp
GN5v6L580KJcM5mwwqN4JfyFOKdeM86a1r2LnCRJsjcUsZ2ZiGaRrHosdjdbNv4hbtt3RY3HJU5y
SVicjrI/4f9nRj8yY+auE5lxaMuuuKhZfXPJsWGJF4caefhDXyIM6FVxAYeN8wxQ9+tgMvj9+8tg
m79ffI1H3Zq4fxbb5LRp/3odIgIb+sRoSnR3ibdXKG5kY9SoCtCKNhFtwmpw7n6m509CKcioUjhg
qnn5Qx0y/Tr9XV9GxVOQ68qxcAqioohpXEsA2GtRN9UjzLhVS/jpU1LYP9pBj09ONyI0xua1yeru
oESde20tYoE8pXjzvQIhhh1/kb4U9851tmPSHyFO9M8e0dmb+FT3LjY/Z/B2RJuTCKTjXPVppTKW
dCiOfOPiD6lDA1BnCKVL9k0rSXahWr3PO1di4ybIkrOS+cWpCALeHh6Rfdfmxj2zzpoXGM+pFEu6
+eG5yCZF47QOUGKAsh0JiBKaTHbw7bvD55y1LJgo6Qwbq762nsTg3inS5kP9VPZ4xquqVusuQcjA
Ob65sbKMDzEKlx6bC71b0uRZCYpLSXLFxdGHk5kwOuq7Dl/zIOAIxD3GJqsnwV6GwTnIW0QstcTy
zpB3z9maUMHooWXn3ivSDc6lfvO0xji3Kusz2i9GLAh2ViVk2L1LrBpDZTO+dB1Rc26kFptuuvn6
6Ys1MkpyE3FvdAfBvW+rpyHIbLHRTKU80DLUSRWlmCK+kBDAQX9jDOgficBBoJ3bKhN6Ui91q/Ye
5i/VCJRL8TnQ9FUermKvX/Vlrv7gUHbIre9o4r4UelNcM091CetB91klFbS0iReBJyR/0ev2QbSB
und1VgAdle85ZHoxBd2sksb8UTB9fG9d/Fj52ASnQuUARSIUnKR05HrzpwJHS5K3xbWJ3wVe0bvQ
oQ58LjCWloUYJ5z6mg9OtbOYayzoSa0it9LeoNX2+Cjr8dqYyKWEBieIHBL90DDM3judjrCHZNql
MqTf52YOk2+vzNPJPxU+pTSrHzylhn9s7AGcdO+06eAneAR3Birz/bglcb2Khm9lYdjfM7LqiB0+
zw+Ca7nBTRBgQdgAKMd0JJ/DXc9MFHU+CJlO5KC1d+hPKNLaFZ32HNOaWuk92CH6puRFQ54PA/9x
5BIigiSr6jDjVBLJqcJtCp5L2BJNRTEFe0E/AVKgW2zmyV6v3XrnufgvOayyqk19oPlHp+zOK3gk
sKlBaCNDAyuh2OULIa/xqWXqsCkYI2wLdXyjNz8eaqWhjiYfD5tVFCDAsFoESgHEisp5L0mwPdKu
KQKZnLLpC9JHYiBq0h0DP98KWCsoCvjdamPbgCq6inu4ibZKisgN6wppqMYAjT/pf2iTchjIDyHU
htMshZvXz+wpGIItYa/nn5qVYLFR2AfpNT8iHdmSj2htHdGjB9nDmJjJrw83g+GDoUOHFqNjPnWE
A9FQHLfQ4pPz6PQ0EfQRCa9NapGWRawo02Chq8MDtobsniDwfeqjh8AM6JUmiOo/u2ht++SJdlPn
oPwyhdlaBHn+ERFEDErPD19yH6QMGose03j7EY8OoqmupsnCtnIuqxHnr1WfRrDA6MkShEBkz+19
cxDrUgNzqYRXFCTRtsgR7BeW+Uqz/L0KaP0xjn1EVJKcyNzoVh0eBFC6gDRRthzccLzMqtyxyNVN
DEdgNbdfgoazZ+vRLFMk2SOog47zrNz/IDcDhCgdmYfRzg5+SXGexsqXuOvwwGtOvupk3D+gKIuA
/RgIV3t3AyoyPAn4vDSEsG4mgSbf5z+JLJQvEIbekMqkqjOeq8bNL+YAIfpze3Rz0mFBtWhrTJUR
GdhZd3cCr6QHlzyXpKbdePreHYbtm0pvrC32hmATM13ZmOh9geWGRDIWnX+spy+OVgwrwlIBbVp2
tukaDt26w8Zk9N8iC4VVUCrmU4in0+xMDy4nMpF5IIZrDVX2vMEnwaFhyHSgNMq3Q25VayUFRlFi
vzwbUYigDMflVmvQFCSl3KtR8rNCxXMI4qGBIKPB7i98cj2C5pYo3Qvsap0hJ0SCAPES0Js+uJkV
gDlSPusX8oa/+YKlvKlHoCwl2B8oN/uwlSATCDt70hRnrTLdF0nR3Wly2RtcYdOw0Mt8bROaxvAl
Uh5I5b34RftYi4yHXIev75jw2Dtj7HEdocSdeWuhoonTXHHhsiHce3IaRo58FCn9qlgTF12dfFxd
4u4glOy8uk3IUFQu0mYDhr7zoHKu3paKcUHYVl9DdlQ4CE6xaQmchSB2HFSNWdPolSvPxy/7OcOX
PdQqDcqblwEvnfz+Ee02Kx8eRw5OOMWKXQxzdMtEPFoh6sQEiGRq02BkD5zGuJXUSZDPtY4Wc0FX
GM9y2xB/6/Tkt3QJfjO+YJjvl3nj42gPUZWPetbvDHRBBL2VydKJi+Po9vGZrmeysJLIW2dWLc+H
PA7FqZy+WKqTLF2nJ81NuqgWAs/ZFM0uwlKo1CEM2854zuLSpS3vPxBSycnOq6CzmRkiEiZ6z2SP
jJ4MLnE+LLgNvQcZi+6B1+ZsRFOOT1oYPdRMSjsiyjVcut+I+8E2Ow0XxARUt52R6OnKY1QEkDow
wvFYBVlys8iUj0w1fLIkloyxQotFZirpRlIh/8XNztIibyhhR7+7lV/iQEiRr2ilgo7SqE84XmNS
dfR9bw18V7n1qQ6sjzCvs0sDOmg0WvNJyCJYlXKor6MSPFc53F1y2rQb8lpJX1IDmGLDeSTIkLnb
4AAPYEDBKc8i/9pIwIBN/6ztQHKL26bZSpDnBwFUZlVmfsXbi/SlYJVF2O+3uBRcBqbWsLGLNrv5
kXr3qiZ7qP1pqGqIabWJg2sWIc+IYuPZTaS2Tstb39vJdVSdpzYA4DpXA13aWks9wHg2yFI+SsGv
4BQzrtpysojA2X/JQNvGEYXrg+Z34/cOtAxGzgNnGw68wTAuEemSGji9dSMPwOTQ8OjMlG0Am+1y
rOyLG3v5gz92dw25BOPhMNhZnicedYNUxnSj0Ga62LZgv7OGbF36xCgS2jZhx/oT3i8EEarpL9om
am6j8BWePxnRmh/f3Lj6jkI53+i1x92EIiaG+Vgz5oJS0VW4M+uER1ebJvtj2os1hIjnvm/fMB/d
gK3kdzHtRoKUrKJZuMLD1kz4ArPvyf2kklBnmb5O/jGX6+/rCP1Xoj3lnE2FpJqOR1lr2fbc7v1T
O9fDI18aWk5FH0UHFXfbduYPUuVhCFD6L4boq2PI6K6qyFztXJGsZ3f7/CVI8bRaZnAVbQ3vhw88
jHTjUKHO3euyBgE5/kOz4y81nU3Ai6E6vGydVfv3fpZOljBZ5VKnlEuRoEzTW32MMPhnjjgXkX8x
0UZeErcMcE8M/ePff1q/5b/waXlEV9H9m2T1tuM6v5WULonBnu74zQJkFCnnJKQTRR10pFW0k2pE
rVEvgZN1Cjc4TniLi9NuKpdM4HKD8tI7QZsYd62LP4rqBDX1JHGaZfh+HLnbv3+xxl8uLZToqTXk
Wa6jEQP324sN/IzxXVzUiCmyibE9hcNyfumL7miggD2OYXKrdN8gsTHonnsoXOmoG6/TKeeU5EG0
dCb68HyIZMkkMUnCvdezpN97jYlaGSrK0hRyOMiy+y4jAQ9VCOqZzod/IVTrvXY8NkkyeEMixCZQ
mvlP7bi/vkWP4pc5pUlnmuCf3wD4EuIbqjvAAvOJcuzZKRE4ALZyPYnEuMiR6k4jZ8UR1dpE1LG0
VLgyf/9BTz3xXxsNnmda3Biuxa9xNGfqGv3pGcJRx2TYdDCK1xqOF8yEJKoR2xd1sXvFIAEfdd4c
4tHTFwqd7ZVv1NXB6idzj119Hwf8hgQr5/9wB/yle0ZqAb1T2lSm4dGumv/+Ty9s9AYd5rkNG4nG
3anJtFOht/kFGHjFkRTppZZ+tJpOwZdHCOQnpW/bJN0ic0xUEY5R/MMnRRP/t49KV3UTNr/lmgat
VPKYfv2ocGLkUGNAF+sxwvmCrOy5x4CZcIAjZ5FYeajwAoKcFep745Yfqud0T6LNCFHxQEYzvc6K
gAacCm6ogRByUJhdjgvPImCzVxhEp/kVfLtGemK3TFMLg5Qg95bunPdCXgSRLIhyA0WMjyjyf0TC
Tg6Ekj/Nc0TAQtnD3AK3v3QYEi7Mz6G4zCcESzF3GF9RDkWafYnDJN7NT8ZcaLmdAhsRBzQ+8/Db
Z3Pp80wcuRq5mpFSX53Ge+ezvaUNrUtoOZJa8wg3j7cSReY9sb2HudNQj0161d03FQbbRNYd87BZ
lEqp3dFODeu0kRxUpzKLDMlvdc8A0LAa4znKk8eiHMXeR2l3IpqdPJRqo2rCvOjTlwJj4/KPWrQL
8cnkA0Z5Ko01cjEa2HXPSK8WOK9bggIXJXkOH2b+U1CV/ZAdPDU1R6hneFl0LIKkeehclhOicfbp
2BZ7FAPZKx+6Sf0VJWpzm9+KSuBS5/rkCgP7A9lCTRGFlrWKMOAd3cYrbwAffqa+gB9h+cU+V0hx
kZ5a3aZE7AMeZ5vNBiZmamo+ru34vaIs+tEY8IcSpw8XQ2YuzZis2t6V2bn26htmvuErzjUKFybi
r34PMTmos/4uvVqsyEHB15AhtaEmhmKI9Deoh7dgAGOl91qyUUebrNrpHhr6gKPbdCbX3Pw+ZLQ+
jLHahRDlngTPt87BnxNDCydwOgS1jkT26mBdGLzmbAr3iJGzOjrBrc3A+ztN2p/0UG2Y8Xj1qWla
c8Uj1wPKBLI2HQDQj2Z3BkGft42jqBtcrMbz1JY/VcCeFqjU0ZqH3pekiDiRaR9eqZU8rkgF+kJC
OMhQeNTEqTKasEl4IGo090ceY3uQe7NGZQxk7oowDEZUh+FisDBDkrDjEyW+8Qjb4iGhoQ1LpP6o
GP8+d/kYXP7nuyYzCaqPgfaD8PIexYC7Sna98+KKlgdDh6k9YL6Zf4mqEOGDZKjhRh2uyD3lWqbF
DxS4JFL6UXC0euM2V+6SovcQmiNHTtrEAOla8nHU1NyYZOF6+pivyA8lRNboeuD3qtyHFYSOsbXG
h5o8yNXn4joWwKYc1XhNDDM/Dm6476QCK5OTz6IOZcoDqCHCs0xtmVqQujp8769WKS99YtboR2Gb
yFj/njH3eyIzu8Xhhc6FumGbQkF+yjoSCgjY+V7F1p3C37wEJJ1RGkavdmD1JwvL1IA+6eYrndh3
WsvUSqvxRRDQeBqT9NxNt0AtgWo4YOgAr9nh3TUapL55gwxnVv1G6DmxbY0HdKoqOmHn/Y87oXLa
y2hhJipCThJR1CxyPXGP5XRt/XCBXMU6FSCI96qinhsE34/sOhkzABBXWtzy8ARjsI3RjC5bNW1u
YQCjSbFV8ntNee2R1JznL2Iy5gSUy4wKU32PvC96sqFoEWEKhzB2KFBjnDGTZ1DJ6OAaoiTDtg1+
Zq3Tnxkh6nvN3VgUn8u5MndHpkHztmw3LBOyx6XeKd1GVWKxmV99Nqr3uCog10zvBe9j4kNFmvZM
H7x27fpbJDv9i6v7h3I0ybCdYNqj9IGG1RrqUfp0h86RYOdteq+ufUnxDXFWVbVNbWE9mcvjDFdh
00Iy+1ytw4EM9MmmEeKSWbRCJ+KYXy5cV9l6XO1FZRjjCbHglkTeYzSdz9CBXFXYmQd08WD/vSbe
lUOFnpwBpJqYI8uWby1yoz67KtLFpsmqbc8AauUN9rBlYIFbHnyFKToe98D6Oqtkp2ykyzA6X0fH
CY81UrQFPXbnPHsbDE2xN7o6MRaHyj+mPjodq261NShRAD1+WexDs853jQWsAMgp6cIiKE9hYolV
Az5il8ICX9WqEpKiEQ0r7uv4lhcOZch8GJlP6lM3J0oN5TEGpbedvfylM4Wu1tDgPCCuRzcMtolF
cINVNYNYNJypmQ8YT6pmHHzOuYgrrfxgkvc3tMXwJUfZshxw7ChxrxIqFoLM7pKvKv1t2H25sk3L
5MWSPjkTiWescidOtlVgw7Njqnqk5f4wH5JCOfkt9AoNJiwbtM6A8KSZbKHTik1Qlu7VaAkiDSr5
YVCtX4tAazC/UmibKRncPqjmq04LkIAXgqs94G3LucI0MjVZYUZZpoObfihDDeK36IPd3NkANYTr
bdo5oeW86TbQH8cqawRJRvfaqW9B1V/gD2IK7bJvLrRq4ndhOHf3POsbsPPjpc2/Y/RSlwh/67Uy
LxJGxQDcjHLx3gwkHKQTIwwWHRpJO1lapcogbOxtZMKGBwPTuA27GFPSTS8zklEC4ip2A9aY+VW1
vO8jcNRFGKTJpg6AH3C4LY6xXvKWpfrhoAQ7CEN6R0HhVgidbkzbtccuUoOj05VLynUHd2MdPA3Q
DpfsAeN7Hgd35GZalWdXczC6LTOHbul6PpgbN8S4gRbbiqJv2SB3Ks/KdWAjZpsoRbVJp31MT7tm
m1USlXv37idW9KqS2jeoDCJzqQF9NgOshVRUy8TCBJnFmEw1krH4lOTXkaWQxqoWbnVY7Qh60QsI
jDgNALjrPNAx83CfutGhEiCwVVkkw8JA5oGHEMeu5qFDS6T5M+0S3DXkBgeMGzdZ6RP+q5OrLVNZ
nGZdl7Bj7F860Io9j0P2qUKtQwDEBSdh6Ny1vYoCoqLnUixQC7IDWoabHFYXodaHD0Pq1g95Yx65
wluJF+UVwC1ccx7MhZjgJIY9JLfW9177NOneBzwqpDE74V13YMsaRf9sqfTHTFgLT0Xpg83DM638
DDQ1ZZfmQMqw1FmZpdEeRrWQO62B/je3TMhlc+xcWXSDU76nJcbjDJL5oRGuY6yzjMQKawgfc/SS
k58IYCHr3b7L2nCXa0eZ6j2dLEZjWdH3aF7JIE2mxaSdXlrrNTTq0lelN9NDa8n+HEbBuQZJetct
cVA6Wb1nNKDn+ZtmDMHKHu3i7GiVu8TSJPd5GLO4YJI2tgmcyo2pJu8jh4YNp7QIBy9RDfF0qilb
7iy1rU5/X3ZRWf1e/lFNUEkQowOGEqLk780L3cyS2pzYnp+RKsQL9lOVygErEeYeAyc9rq5uwTlq
kEBtEuqJBjD2rGTD8Sx6q/2m0BR/Gck2wpgrcxSKmXkB5qPCrH9TYxPTOdlFXxsVzZ2JUFcbT31X
d9UqL92FE9j2Jhiy5uhmakR+Sudih7eb1fxtqnd//AU1ssZJvHlpqzGgANGw+0GHPZltpWwaLzMf
HFLt11GjJ0wdcCIVIr2XvQOMpwrzu6w8TM2EpamwymYRozYpGWnrDuvecRJst0yoqHmqy1B43aOO
YnwhTb98srPwS+S0P3wrmeQQnFDNFC6AMUBHQN8DSbspzv/+EmUxKqtBrbbd1OKCyCgxF3tKs/eQ
leR7sx2cD09i6u+HFhVlk+xx6ahL4bgQpNtk4STpsCXtA1zZVNVZiuvt1GHCM48Rng6tB52AXHLu
2uS8owiKzHX0xm7n28IFZNxqd3yr4Hj84VELC4MNhJuQkCFwTR1dtNzOvs7S2fmLYoTiHClyIdUa
Wm5K7+rfHw9TrK9uhXB5XgEs0MwVx/M9QEwcSt7wxXJjGxsxQgTMXUsU1WsLvvLdC5P+EQOT8mHV
KnJo3S+uRWf1R4h0mM3bEuk88pnd3MpjKkWnvz9nhN0dy8b4MZTt+DiE8Uci2aJgvKQPjteHn2Oh
CXLApG8qvPuXAsD/MrCwUk3nnbFX7UsYt9cic/u19ErCCaY+LH75+kBKzs4yTl1qKl9E55hQYBJ/
ZQ6S4JqquTux470Qe/Fm9W65VwuGw4w06aPiOqTK9sF2x9VrS9TOOZQO903mJQsyZ5y9kkXjLvYE
M6p5/vk9wMD92d3LpgRGNRzUFQwH3C/0ZM9imqUX7UDCdqGaT15cTkY7L7m4rbqdJ2VU1CvbhP3m
t7hUoeHoz7kFn2aM/XbPKOFb3zfJIdSleBix9ZIeP24LUxHruGuTK933caC/q3Qopcu63XpxUSEH
73rq8ClhMrM+OpbIheX9cTYePBW0+rQRhdI0VmgWVXan1Ike4ul3RClAexbEM/CCH56dylcyv/Z5
kew/Z8mJHOVT6dpvY9Qj5gq1nyla4JMd1Ogp1GynqJ7nLHLVIZmt92DyBKqyq6c/MeRSduRb+eBW
9AA2cuYeuyEkqyqKk4s35ZhpVbLWlVEciWAcNpbSWNjfcQD3ycCiWdTWdYh649Vq6mcCDwa2Nw0q
muI/JYqvvKq9/+YkypMXZuOX2jKOfZREz74EGBhFVNDwA3YVo5Z7YVLqjpwy8Geq+aNCVJ0n6ucR
JdcPkleWXT7Y7PBMNJQmcn9otrLUS5AqhR099r3w7goBYGRhqGMtxrVsgK+Di2RuQ8uOoW0c3tpY
dUHH5+ZqGL09IlD61Cj21ooFZUevB2+KD9IOtodaP3FNuZSuD3XJJpzOoIEIxd4D/510Np3/DBMX
CFfIID0tO7g7i7TtDAREu1mFgTGZM2OuBDvc0NhAGsfeWnA8eAxRZ6c1AI9vQODXXIfhDc5Nvcht
+RInkzq0lj3O4Th5bN3IXs/t9NapNPBYDJJwD/KwJcOjN1r9I22JZut5Po5Hcg/7urnZai5OY27d
6iRttyJpic1QofUtSFRoN5+brahEw6ZGkSR4xtDH86dI18+VaWqfJwqjr/RLYewD9g9w5YG3boYs
fGxHJ3hMYRFsChy4y/nbyCDaviS1E4Bs0aKLGGgSy+ZuTveJqvQ5hjZA9ehHO2pcL9xxaK0eh5IG
AZ71fVg7zR02zrehanFsucK/quDKKgvTodrAFGvyst7XOVLZArOlqtKK8Jk3W14PUsqLL1Hbotqs
k7dZ/s9IP2Lm0cIMFJn20sj1/yPqvJbbRtot+kSoQmqEW4JgpiRKttINSrI8yLkb6enPAv1XnRuV
5ZnxyCTR/YW918Zp27yZCUyAXHlhB93+ISlT8NosXn/BcGXGkP2+X+73L8Bhgrh1r/wQyXVw++FX
EmN91NKSlZHpv9HQFMf5XsA5li1JV0D5YBPaMyvUhlBXQtWyVZ+MpA2lm0bMoEDfCcZqW9cecb5a
htVuIo3T0BwKile/IoPTQKygTf1NFUuNk5yF612NE9cvZq81V0rVYLSS+bkC/ntKtHwj/ck7ER1D
u24D7NP8OH425rcuwjHSaWO8NeE3P5LvcEFANYeV7hWhN+Ujs6QpOnhE9D4awLKMfrBOdBz2dg2w
ZZzfgPFeBMvBvoiCpqvzZ5ewoJCA6JyIXSIwYwH7aYiLCgItsrIMS84DczN5sSMfogtJXYMnly/q
9003+P1H5zjczo7331SLPIwFLIIMqUuE5MD5gaQluPZcFeqWrH8hctM3+VVPmvSdS7jaGvRmp77K
s3dbwBzMGMvrXYQjlVJsiu9S4DkiB9OLt4SwlU/tOKggowHVJuXeIqdsP8gZ4ylrn9t6KrcJSdI8
E1KcBgLf7nsfVa4ms8zhrxKV4awZ3u+8KbKwyrUlcMr+uzcW9B6mAyTBYlQEucTvbnau/2cWhALK
aTz5Ih8fuJXko4fopPVj56qZ6jWreGlk2uN5Gw3zkcSHaqNPnC2BjutyOxYCS9qaaNcjXMZ/tfbn
BWs7mmoiYkbf3A6CyInZTF6G+xM8Us9sEIRhP8WHvK/LfLnef4XChkewk6QHJ/Ls0LG9TYBAWpXM
O7eHQ8r+BFj54kTyKIVod5NLfAA6nn1jxsOVVZHzQIQqE6XYfJj9/B3/qvWbomzBP5a8WVV0azLT
6bkiutBI7eyWru+Aq8mc8ln8HkagGFhws+f7lz7Cawnb4+n+HYkRNmd+/97qMFcB2iXhOGeSxpxF
UTCPwtj9+77K6uWxN9VnPXYrMqt/4zKIXJaG0mdFjECevvkRvZL2eP9V25KPNIGcYrHaJftooXGw
hSVeRo+yAOzZcu5WQdxcLP22GrX3eqgAmMlUizaLnc9XZ2p4HFKML/xtzbiqn2M/+XfX8xyxZCCs
BxcZlKtm9Ph8s3y5f7nfyM4cB0bNDcWC814etBGypmman42iL5/MuUBUVD+NVmRdcvCkNzeK3Cej
fVHkvh+Ii0REt54uncGyyu2T8oTzejkQWCJxO6EMNyMSeO+vYDU6WJQbZ0awGc5GHf2VBV1JxtM8
zdr8DKgyfzBW39hdLCeJFlmKOXvpHYXkYcFWaveLR0aCAT+sd/UdXGtxc30pbpPJONadfJsOyPCP
+dDEO8QaLCaiZD+lbXtYEKg82KAD+yLzw5GEya2ttPxqSVgh/pK9syLqb3IC8SUcKlLdrcSLpaBU
RR6n2DJgqM7mT6ycqyeQL0llnTOpmHwtFrFCcezse9MKBt9tb6OtLxsGkfZ1eDOMunk1vGjbymp8
jAFZOCuzZ1wbQjGTU6IW3FDtardufQ0ThcfmpY+IY121PGK9ZnNGr5R5Mt3dc5vuX0zM6gcLtoxT
4G9TE1jquKUeWhrk9pG8U8BYVSiTkUn6Gy2rPAmPgFanaTkGclnZYcc/IyZdPNiuNh/+ja3XSecg
XXlJ/pt6V50hZgxnp9UAnJXiW6E8PXeGsM+lAv5olvptMIpDrD2b6Qy02vBZFY2wYdYvfWZ+idED
mheb5XyqW9x3aw14/+wBcVQbc9aADzseJ0nNhwl5dxIavbAPmeIObcDwPZceWZXuAIzdynHXr9yt
xUjnh/uvvEbfpdRNTMOmdnM/DO5fDIfBHHuTemu4w1fmJe11VMP4MPTqw5dL8dJyWVHeyGc353hp
3fyx6Jyd2+TRiTDjn386y5zQpE20VifoXcoQRhi8Vgnfqu/deZebDUONDgp2V5lZOA3+SNpnPPxi
d5+clSkxxlRfGA3s97W0ChRC+QCiOVSqjPmP6WXZfu4iTvBqerekDr3JaZZHVytHEKTliGSRf5jO
kQjITKF+79zVZNYMb5G2Zph5i3m6f4vk6Rz3HUPlhkkkjpbpmbfynK174yXONaYsC07mFql7PIAd
ABjzViXF/GtIoukwJngrXZzirxg1LhJfOzkyVXytg9ZA2rrpYDAjME3+OmP2m/Q699MfWJXL1MrO
fhr393v0LEU2wSZAT7Jeq3yLRuL+ba4S92CR7tha1Ls2EN4P3HkG28zUeCB8bbgt4/AdSScNS3q9
XWbm1VMD8GznK9sK7t96lvWS2qK5tjrCr1nRDBvUw7+GLOZTNRjLRuZYnG0rScJyFc6YWXpmvLs8
iHW407R2tc/ZYg2Z6oMone3nqSjtZxbw79o8VZf7b2FqxYKPdnOTKtLV7j882WktCWPt/76FoNKi
y8bt7RPFY6eCNtiW6JOgIF7cBQUT9sswLv3mg78BvRk6sZphCflnU/krktK5cbkG9+/Scsl/MQD3
J5Clri33CXyvR5tp0mNcpX98lAnIKfiA9gBoTuNiPoBnh2BtOj9Z6YSOTP9qRjU8Ox4L67LtMY2W
3emftVPPDr2/HMpp/jvnYB+We5GXGqMT+JQdnIvS2Js658L94I4Xrp+Kw2YzM9ba3K/MtBXiQlFT
/VtkFssgLlOGRmc9rlU6v7dF24T1mNgHRnrz+0Ss1CwaYpDi+JeAknN1aMAD2nXtoyQNZjOreXis
u7mjkc9XaBwta81C6JC2SRkWMzeG1M30nQyOx2LWVkL+KAMKOv9iYE4KfD/vvxwxXMD+zb9VDy9D
QGo8DmYX3AsZBn3djcq7eiwHXlfg6PCIZ3m6n7UYGehaRSFDJbfl6m3+/y8WS42gMb6EkhoXOCM9
nt/9Yujl765Q42Xy3S6YRKrdHJc/1Mhs8HpojWPKMW62XTpWxsfCfGqbOO4I6at3ftkjwHvXCAl6
n5ON64MgtpfmPwiOv/TM6V/MvH9yVIKMcmiSW9ra8EbK1sKrllpPbTo9d2yYwz6DPnp/Aor1qehj
1V5BSu+UFe9law3XxXGsJycp7SdUmwn6bHcTzUl5tLlj32sQif7SHv/dpSn+txzY+lWNtEJQLght
Mq3+j5w8AFAq0cugNhhOaDBtj1H8lq5KOfIq8suUEL9c1227mZ3CwDDOmqe1oveJNhlEcVUAbR/J
Aonko1z38+B6roXsUaM3TrvFsXZLykbuXa3tzrDuaC9XgVAxD3hrOZSzoGWeKTNgE5WBoIUSyjre
lwMuog3AcRhRlqqZjy4pOnjA4KSIyf8L6my2tx58qZ2Tue5F1x9duMzPGo70UhnDL2pv/Tnp6kMc
e+b1fjBDw9SCsSrKg4XADzuVfrkXq01fuYdo9G4MH4nBMdPyaq+9Fq8Xm9c622Av85/4KKqtU875
+d+kQu+9/AbqfCHEKMVAOK9lpHjB4dkdupH585yVZ2jqF9ue2yute3QzY6N6skArVOjSmFoQDnzf
yVsuPsWokbcSkuOGl7P7AiYMdZKdd6pgjVX28HvOG3WDKvwPmDo4sD3u+SywKw+lavPrv8gW4H9i
WKYHxLzvlfLGs7byfdqocm8VIY+RiPoDSECMFuvvDw6DBxZIx/u/df+tDJgeCmN27lxbCknyRPc7
Gfaz9B/jyGfTbjOxjov2oWOvvkeZ/D8Kw71+Aqj00BBItnKpFdI71uWjTr1Vw+AK/jXt6/j9voyx
Z2U/rMcikAGfY8pdmu1Szvqba4qPJatZyBh59yBiRXI8OOVriX4xxOaMwW2dtqoMr0HE9JvHLDB8
5ewirET9avKD9ssOuOITR5LAzCKwFQH/CRlL0HVLSL2nu2Q+GWRyyMbsM+qt7jjPThrIxIqOLfOu
ICoYvAhJuortpH9mW8ueo0rzLnjfniQizdPUteO1G5FLMgXe8cp+VQVao6wvlu19QC+bBnw12kdN
75zNaNg12kaKYRxk84OO9JnbqIxPlD0YIRx1ozv6D7AEqeCIOPem2fxZcsN4BFvy3WkMZtzGSL7t
ama/xt3I7h1o3WIFVeTiA8lx3VUFz4cBvn6fwNiEeU94BmS3WYPtt4scBi9ftRqGB1jkmN+G+FSK
mZm5+B6cWeyy3Hi2x5TJXsJ+Rzrs/oBtMSHaRXM0HHyfdAWsU5vK06e9GtCIV/GSbb06eUcMmfv2
o+7ZVeCjr1wsncg4uqwdE/wnn5A7wQze4dRu+i4069ElI1AjD16Qk7doSxr6Ph4bm5siGv35ZZjH
hPoPq4AwmwpUd5OSaCf5s4EviLzA7ADwFz7mGMy6uewqraBJS78ItBV7VOe3zukW3ECus5kHdh6w
BtnAJeYHJSnCmYUDPenO4NARwnvP3lGWMg+l1N7ZZ6Bz8EyiL0r9CPOC7Q04bDP35VandXd8bcuC
OYZcADyypaacxoEdriVJya3qkCDoU190zBSr4sdoqK+W/HenMxy2GACTNkxmRWL8SUaAKcRnHMQk
1g9lG4U59A5WISpUkIVavZmeGDcF5iJ/s2p976bqk+DMEqxGWFhVj+3TYHw4/Omjv5U/3aJU/Ymt
sVybjJZmkgAjwyhPcf/o6FBOo0KrmQD71VEuq88g0oghFuJvohFgw3vYzsmhQ/7GnKR6KImOLop3
OU7RTsK22MRpRsjSlINYj3EZL9r8H2yW5uxHxHMxtGekndPGdPp0drTnJXPxqBp4eiC45pyzJIJ0
GriY3i9GCsc83tixevZMV13dhE4Q3RBJxh1LlmkuU676Mjr3wq9hKPuk+bXp73XOfnHKvNkqtgQx
YyDPIihNS1i+eCg9SG8bdoNPQtSSdgz5x6XcE7PIYCMKndZnRjhwyugjKDLMyIaVm0d0SZNX+lvL
Sm5Danf7Sf9T296fSoNMj2yHfIakTsOcOmxZSPNIWf+7Oum4kYuTmATFqtQc1r9Eu3jPXZ/1W63T
vjK9DNHF0Z1HLllupb1l3mYGpFCGcIG67djPP37vCNIgbGMTo2fAn8a8KukzSfwdGnA3zvdxqq86
VM89QcFchH/upI+qZHHzY+xOv4uCwIXJoYqtuRrQUjQ+JpLKBAq0ML+Ly/GiLYYBL3H+C250MxfM
G/FQBLEpGG5qCx6CyD4bisvYEfZ4rY4xIK6ND/1lx8eGMFQxqKdIqKOXrKrxEj/fsEa0JXGzYY/o
b/WM1XGsoZ5h+kXKuVNc/KzaS021lE5sZkxMRmqpcyC0BDgalDJw77ZokIvAyZtrbpL6JiuE5nOf
k5AuODqRVhit9jI3zWX002Pa9qc+5nhqWtEQclw8g56HK6BzMpikBRLdmh7AqD3qta9OVnlEj8IQ
Hdtqho++lw7+BQGk/ac24pLZHPAs+CJtuLS8YqNjzzuDydSiix/hET+Ae4roKsaZnFQWI0ZnsALd
ybNQ09pDHrkvVIDtJtGbPzCn0WWOiFlMp3sy1GukG0mQ5AhOpFY8IBr89PRxtdKkT6o0MnT9xE4m
GpsUA4AyOkPfJrcHaonRzhscOT9+6y0EkTxXTZJv7CUpD2oU20lxs7Io6VV7Vo0ICiCOc5W0x3Ky
sKaVdOSDraPpzwiBlPGLhuMLYWT2OvdIIofYBuDiEPPZseIIVee+oYx3HwXvOXF351GJ/MI7Xu2d
JvuvmWDbuU6KeLid4GVl/tH3sMpm7dCGqEqwkGZ7OyNaoZlQoFrKvTi59ZJENaMqgykFyoktG31o
K6LPAqmIFka+YeFo/2boc10KuJpu4qy5ISo+65QYXAzNQfNQz4uIGrRK+n0187gu/nOSMLDTx9Oc
6t0Vgy+h9ZLcWc3X9zZvkGkuxkZfxh8T0wU9Ww8wfzL/FiylAdaizKzhWpsCYR9D6WYzJYbcQbsv
N2RTOqFsvyO3qdfehykegb2bmr0rQLa53RgzqcJjwsKG1rRkL1KVyHTHvV4w5arZBm1LjJqbxiVQ
0hxY/EfxMAC4cUnygwYURtEI+t5rY2Z9TGPjagE72ciHQvIQkBPJUVrvSK9b2B44WjlwldDUkw9l
7ApiBRvgjZ1XEWAcETji5OGc1mD/SsRLKGi8oExT54rJrY3/03q0AdFM2R5zIG3b0ex2VsM+PIm8
XVksod3CuI2zdz3lNu5MY88NqDYzOrWXtJOrPe/RBS0uRPyKjLp59IlB6pGhgFH0tkYC+cKZbqiV
PnQWvxt2gd+WRvgoQG7IYCI/JrEjbtnwNXBYbbu6+yoNEGZlEm8SPIphkw5/qtFEfGRN3LFqXXsY
MPBixhmZn4bCq57LWWm0eCQ7Z1G6GYGu2xEy1yntzIPT9a+ui33GguAxRY8re2jrFOyUbWcxSehE
X8wIPt1mUlZhZv9YAwUGNXK0TRZ5NqyULVe+UskEqB5LoWhRxAWJzsPRGRkPqBOrXaw9dLTBB8xK
xaaKX/lrQ2vWp12T0bosDEWZ2qmFFm4EUMZblJJGWcIZNYwPh0cUPZjBDY0EgADyj5yaA6PnJACH
wKHVc9YImIbFJrISQmla7re5ZxIST/JYAsQIZJZ9I8lC7aulF/DhX8h5UO1BFct8vzu1eX8pBw7U
vohRrnyB60Xy6Lgdzfofz+3e+OS/sN0vQgNNCcLSBDfKqNtPXSG3ZrpCzLHnoRDETTrLz5EKa+/R
STKX5BpFFmWRmIy+MX1yvIF07QamsISeH7KKtzYVQZqELpbGAwp5JEHtr2aJGQppVThZ4snIx7OF
RP5XVREESZmKWNz7QuIUJoTGWLr8SWTCp5ouRiO8go/YC7ZYN0Bip52mxrE3eZVeDKcwqcTzfNOj
30LPpJwg6QsZeD1UKQ2qGR+Uhnk+2MWsnPKLVrGklBlL7M5lWdk0R292f4au/tDHaQijhg1xRxKo
qaOZHD1lEvhWuzgP5QWLdzQz5It8500qLnJ7LiFj+6QrZCMaplZ7E8MrObOA2Sz9hmjdAMbGj+Lw
eXApCpKaGgK34ytABQcXZEOCT4vfEzYJfWoC62nKk3eDCzfNwPbO1Fo2Fmmq99DMs+dmIMWqEDqr
eoxpTaTxidQ6pqp60Txo8zHtDaR1NYhWJ+JcpPZL0ha/hFlzZUoP+ensHVJWpuuDYHObl6QAbK3e
v9nx6vQtzD1b4s91JgSQ9E9DOE+Ef3QazJip8cLCVWRY7kERB2Q50EZHORuusb0CFSMAuyjykIjS
P4WOBrM2NAN/orcbR93Zsu8C7uYkN9ua4osyH1hJpLulYuRHfAuD/LI/0TFB3hwHXN+N+xWt4MdM
5zAVc0tlpPPDVt2tM+PXonLao6n9SZpQIyJrIIJa74kFSia5xTNxkMPwBrsq2zMGp/QC5Tf3mKqR
HDTwRrqX2TeLXYoRJu24vm0/qTaatX5YPOfkjGtFXfj9mRpYs4m8HStu9SymreedIstAbzHRR83W
zuQvwnf1veEaB2wR5FBAF95MfBxQQACon6Y90gWegM7asWzLj47ciyX9kWJ2D63hEqBISnNiDpiI
Fp4lIyfMvZXyiOOUaLaMo6BeHHAoJGynPhVSdh6qUxa5EY89lCHu4IceOTvTC7HzpWntJuKzt9I2
z2wSGHzm6bYUDKLgmQeK/PjDhJtpieSPnvjPeu3Mu6KGIZh349GK2ndAAgzCLKwCrukagT/vrQUD
uJv1J09zxdbwPYJy3EuOzgqJfidfpOAwtSpLBKUlPwu/0p4B1V5BZJ8c97sqe/9DdxExybRMN0pI
ehcYblHZib1dxHAfRQf3gPDDyGWmlrJ+iaPIYUkQkbEEDnAbYWuG5juN5LPq+T7Xzo7MolNupYTO
aci1BFNxCQLXcZbQihy5SScDvLYeJWGBBs+cKybMSJTsctiPvMUWjKyw6rxk56goCfC9nVRNIqMH
jCyAofNUu8hM2tE5pb69UKLV5bbGhjZMb3FiE/NdJgOp1t0pATcSls30RcwiGLjM7/ap/5dCK9mX
k/vEyJ9YsYG1ST2D605LWBme8dRzKIPdprlpoXI0Yjjxcl+JThwDoaKbN6FALDp9C2lFbBMZLqhP
Nl40JtCnCIcu2i2+E7ABiugAj9nF7KF9Z+UVTEiYGK6ReBiRkoHVhrzLuEMlZ2L3XTrhUHV4A+8K
ZG39tSvSA5aCapNVuRVIB/7A0KBz3BQ9IhREgPk2hZab2mjNR9y/WwnY3kowOLEQfbQxbO0Rl5Jo
bKDeYHxvejyPKGjjtn+rMHruaFRQ2GQM/DDihz0qY43EkIMdEWUraVSVV7Ix5Bf4/qYvQLkS7Lvf
IWQtShYc9dGOoHtNo/HAO7iACyWkofR/Cyo/QI7ldnSjb7dXxwYWT8jGmPAwtNCrZpOVT1Ej3Cw0
gRqKbz3mCWfJVhBdxs9gERXFBDzemWpvjpW57xwT4CBinxo4tZljnsHHPzP6vfZ9fG5LcoN0za6e
2vkC79APejuh25TkktZQo3exXlkX8muq0Oqav7WsbjVmIM4Hlidu9YG2L9s36fJRc7bwmjkbJ3NW
MTNvm9lzZ8QxH9nuWROkh6S0c1yFnIG2PjP6TPawoej3XcsOseftLNc+kLBRXeUwkbINgitIS+M8
LxCs4zP6Q+/gKG3GruIt285Ygz8meNftV24aDec/o1kOCMnUxHlIFzkGsqnGc7wMu0wfXyLT8y9J
Or9aC2j1TrsZWvI5u9YNaip0/TLJd1Gfkfmw8BqlFiEwCzx5gdAEkTmar9b+k5tivDWa8xt5n3XW
luFF795Biz4gZXM3LDyReHQDK3Qt2nnUYds2BbA4kiqISGvY2DrITcSZZPE5JIyo+WFSWvkgKp2J
6NyelJG5ZJmQieTbFjOy7K1D7BtS+Sb7YqJra5GF7DqbQhAz9gEI20MxJSOmXLpfF77zuAa4xGRU
7Q2Tt1IVxjkeQYyVev+EJg7BV1mTkGnmpygZ3NAv+4Wd9vTZVfWLz0++GVOUTgNS6E4IsUnei7Sc
w/hAVGyfmuwF5C8dusADvuID28oUeV/yO22QYAhbWrvK0AGvoBltwQSrhmhrGD1z004Buqvnmml0
2I7fC5JY4jdxaJZVde5bgv6UWh7NjCfaF9TCdvfM+gf3G4G7AtExGYAeiRje+DvtGid0tUmGk4Gn
DtzMVjdKLhbXWutaVA/YQolOX7XipXUu5FfW5O7FANFbRd1uiSaSHZANIk1vQ2YBwHcJJWlEfHKU
idKq6re608SnFF5/QU27GbP2o1H9q90Vu5m4mICSS+28vnt0yZKjPJiPnKnNvk/VO4mExqHW8m8W
ufHJMqGiWzEyy2G0kc2ZpPMIlb4o1zkhswV55uvJZnFBP3woWKsrrfePKLK/qrB4YnxFwzApEnLx
raf9L7+qRVggeCb4Wf9bjOTWW321pZub6KVcNN7ZtzOUale2sQz2BJe2zDlakhxhoXVxsgTtyCRj
sbPhJFT+u86YCNUk02yNnDl/BqB7my6KRwCqqp4W+8ZJ5dlt58NsqJiT3hQHWflPWTIGah1bOe4w
7cxYEFg3SRFgBmGUkKFcsEd3nwgr35rUhLatlqteqoPlCVLMfGbh0cCoiQaUdY+ugJg2bk0QGgRf
wp34hDdqT3hpfTSl+Y6sTjH/IQPMsP6kA0GQVvoyuznbomx6Rd730xA5z64DzZLNnCSVGM7J6QKU
dG1cBP/tUhoBcUDIP2d/fpg7bDsPVs8bq1CyBEnBeyRSkym1hZHcGr+npX+QbNY2+YgbQWqUfxWi
WuxmEJqw1W+cYj5IlrubzpC3CHkE5TOs9KxoAobCDX6As+5WX2ZXXNymsBHxGlc1iP/6hJyrgbvF
AVjMUJPwNKZxVVSQTTYLxnVs4qAzfE7lpe1RIdJTDh39bdIz+HJpOpKcpKdZRjtGb3IfL2w0BbkH
wi2u4/CrqVIspKPWHIaI/ZooBTr2evlwuiy5ihLBh6EKCgqeT1gCeBXDxsssDg4EZKrT/s6W+Tok
mrmj/8blhUPRa1jwGtgRQAO3AfKaKz1khJCYzwgf688k6g5xwZNfojSvj5nJcK9tNXUiAJPBLMnr
M7MhTxYX3Zi/lN7oJ+VVXwxjdMANTIsrYwbfUT0gqfstyFg41B35TlYNG0ZN34OoyoD5L09Br15V
pTkXL9tbPIYZ/JiwmpTH9Hg5+7000Z0kb0waQWUXoFGiFNZBx3h+D/Duv4TY9YU1bGsQ1h3pqBFU
7ja8jwTT6u3wpsFi1hs7CkaNAB3HJgiiw3/HIfmMzkoLNBV/jfpoH8wqxqHI/RpUIDTY7pFMZ1US
aqN+ywX5331uscWci88UyoYJFWKY6VwGC8tPBM8wc/kstpXxlKmKuK62UuFs9VdNJo9Kq//YiPLp
46giPYFGsJx/xkjHWFhyhc6stN4SV2aPhHiyjInNztxHAltrM2VjkGOJ3Sox7Lp+2kCbHo6lhXYM
g+ULiOp5p43WG+TOGWTJOHHtBCqny6XRYUiixrdO6z+0oso31mINGLcYAY5F+RJrPKaDMV0r49T0
cHYWgRGE+Ha6HOsHVn28+k1vXoRqqLPS7dT5ICMsM98K/PmQ/ahOEVs4OApJiO4qgoSUnr4NVnqe
82I4CDOl4AMEzhm3TrvzIX3yiLJPXBRJku34OerEg3TJC+e1GujnSf4Yona183cxzS8RuOSdfSVZ
NATAqLDHEXRzmhbneawzbVfaLvCdpn7oM2N5Nuv0qSv1LR/47JZ744vEuhCo+XUeVPOC73RXz+oD
J0N9QVP66uCgmozoOlXRteyml7hGW+S00QvrDRo/8yudmL/ngnp7+Gr7hPlUZFQX9T4YOs08LtIi
SekGZKyHvTdPpJn2+aUeWrScA/maIGC4Xul2Oa/nv21EsqOZWReFOltM3Se5rszOe/5FspaISTCi
n6pL+/OY8Ur5CzSWvFvTjvWquBhFlP/7wku8kax8wniOlr0q4z+1l601X/Jj4UHf22lCgr1JoITt
ufiXqJGrlh0kmZQA1ZJgFN1haXreeejduUXPjxQQKOx3Z6Hd6wSXvIEQNNKfHFOvAuIcPjP1d2II
sBlj3bj2auYydROxQWL8PVnDf2lJw2PNiE6rnzmGP22MDD4L23nPfBru3Gg3o0X7MBTWZ5VYHny6
6Gi0rJlEFTNVZA5LJjkstGxfa72xx6dIZFUENw/JRpiS/XYwEVvgWMpCZK0q8BYHPjVxWMqjHY8r
fTusqZPxkO0sBZ27tkb9QDQf63JMuDqqgA1ZzzyIGcYT7jn0NNoWS7zp0RcjyvYOOXKhZgGm3XfW
X8m2Ae7n90RruVn0PqSALx4VM1LWFQM1/hIfh0Zn1IUYiJbLIrXCGZnSE0DRdZbYkEaOCL16taz4
1dY41LL2DVwp9idzwE8/lL8jbeHC1yy6PWWit/cMmvtGnVw9+yuTqDiVdfVFZ/fqLW56RDIL9GDo
n4nIbvcdg+xUJ/ySsGvmkzaDoeFrJit1o3Oii2L6Pc5olMy/iZA/vObG1s0Yh2dp3H42aJlN0npo
tvpui1Nu70+ZuBVEEWnJsksVsBAS6VgpQe3svTjkB/0ULssLS/hvPsdVl67tNhItU/svm9DgyOaE
c0dxDqwrBafvjkzfPryGIbMw6YtVO4fDxAePAIJRZxqYCGXvXIcaiaOygPKVt/bVEpQFdoHdcmE4
tKPH/YxmCSdOfqYVaHPUgYxABNCxaKK/prwDrBdn3o79LzcNECBIHyF803rbC9JZq4HU8VGzL3k2
8tK2ZkrQS7K1PYYkw0xn5Sf2y+IPBeES05vykjSM8/rEPK3YtiUijnZgeu46uz6anWvHcuvMqGc7
INYKDcNAKdfvdX1srpC42I4pQmpQU7sFCrK2XzrSXTlrRFL8TgcmJ+CSTogtNo5esHubKhBBAkNW
lBwWmniyWhzeFUW3msFo8AcPzcACmw1bxlHr+NT3NReSljIk8C2HQRiL3MAdyWSyGBVQE5EibSbX
HJ9PaA3fpuXbq4KuxPFk5NuYeGWkjjOdkJE8t465Z7Mb7YYW54KkZEz10qCr7/d2XYogN8mlk+Kt
SUZgeui8LQthM5ZJgogwWDvL6kR1XqrOrgPhFUe4VlgiA8h+bQAy8K9CE++PHxHdha+7RKaVzouZ
1D5SDIOhKsVHH2HPZlnQfLe0+HP6LvVuDFsSOdji8kGMOU70geJ08JBzaONM1BGSuMTmAoCSsInI
M2kiLPWRYD7vetSlqmayPi4GUImxJp40o/gEEsL/jtOATRox8ezlArBGjAVkwp/o0bH1s3VjMoLS
zolpnNVbiXySDLH8uauLwyikCrUuovJpvOPEAIBG3qdUA4bFkZbvVfHZkE5HgpL5EQurPPnrbHAd
ozgdwXzLSD56n3mk1U7YrxpTZ6BXX4HiYImAB7v1XOIXDK/dunDAtrzuR68intluhjRIlvIy9MIM
1hwL1UEOlbRSQV0yaWMOmEx5EXhwXcK55k9yiatdDSSC8048a3h9/Y471pse/o+7M2luG8i29F95
UeuHCiSAxLB4G86TJIoaLHmDsGUb8zwkgF/fX9LVUR216ehtbxiWZEkUCWTevPec75RuhDTIpFHe
o2xJ0gUnaT99FWE+HYJiILqvYprfOd8QXqDZ9IbsgeYNpA274iYjknXdM5grevrkym1LwmTKrxQH
utn4JhSDGbwUmtYh4c339dQIhUD5gI5809hzw//OSrp2ePk5SEd8UT4PQfJNaX2yg63MMipMcHvU
Uc9B5ITPbm4zyc6XBzfzL91EBhsJd2dXGhoI1vzJA7WscSdzQxE7dS4g2hRRSUs4MH5EgE73DXCl
VYAtGFckrecxWc4yCm+mBZpPACyb5sag/vcSukGhRiUKCog6hHwaUESY3om5JgnyEUGpQTYcFTQX
AqjcUxv5iJlJ9Fl5xc8JXsA2hPbOQcjsoOsmq8II6WtiOSFWetjP1MCSOhneBPGLBbyafrT8y0DY
45pqBb1F+4oA5yzcyN2QCBngTh69QwUijOvGP81Dp0EtM/lr1XPdxO7GKCm1o9767lpYyNObPxjG
jhJH7ljlVu0IAXewzc001ctOS+D82X9jP66O2KQgMDQ2Y7qgPS+sCHZPESwiOR2TJNsT+v2bo1y+
WlyuWk4nhtFNl6Ccz9h43W0zzlun5QwyjrLbFuzBPa6o0zyKx6Crm102lq924z7Ytr88tgqKUxQo
cjSq7kiUBkh0Yy4IdGMhNel7RL19G+IGUkYtsx3KgH4tvXPjxPMKheHWJezshHeRW2HKwq2vpoMz
qp/mUCDErKsKDZP7RMuRepOewaaYxGbLPHu5LAzalqywd5TBaCcgqvRuah+Wt7w0vyscQS+htohM
2c84yIsnwGePbfY15epKq2K81C4tJCD3mKSmHIsNTR3EN6cKcPaukZ5Dzzz+SMHeMDH8VCAxkdh2
2MCx2G6RY/5hoCZpeMRPjpzCvdsTaAJF481Ig4csLR6EHdYoOE1jg675OcL4k6QJoVwFvdLcFO+j
Mtf+DGql7MffQ9IVO6QhBpsEf1T3CXcGRYqNnnpsvxPLifaENXpxuYSTnEN6AL454l46NFrV6C42
ggWa1UNXEc82v3a+6XKWoC7JSs4BYZ2TFJZfrEKixhlJaKowcEWRrGANLq/kOALnBakIf5aEXHC3
NR1JH8uOE9GeQbG3Uxjh2YESjs8RDoL8t1MSg46S67tRVf0mXMROgrHiQBy94pxFWZ7nDjs+bnFz
3OLyaoHkK0k6coQ81Y8ZNAivM/cywTBAGiyDt12uxfszg44+Vs+iMvAHmjbCkSjwTnZ1a0HEeP0+
8xChob34HmQjgd9L4+BdNDfliDLdtIVWAqeXlIrKd+2dPf3JM/q/1vBiRi0DYS7nqWk5VJl29Jy5
Jv2Hp9xI5z2tuIuJ8GUlAqPeJAhid0V3q/1ypvuXJCsRuieszOEO08QqHER5qITc4UlxD84SbRnQ
OBu7MGkA2PNW6r3bHYrx4puc9ifX2FYpeG4PPj96QgVNZi6MYmsZ5D/Hk7eqOPQyOUPiMf6EcagN
sn21DWZ8LRSce1xwKgKPPyenJO/B1DBBJvwy33kniDwdOeXmu6DNCNkyQuJDNUjkoHPByfYeuFRG
LCG7IMDP3wr6ze1YPU/9+KBaCzk75UNNEwoJcPxQhHFAQlj5CL+BNsb01JcAUw1tIqGh36ycyTMO
xii+j8taJC+K5jvtSKwjCI78qhDAZjmsdFRZ+WSMjxE9x9Nk1jc7KvYjTlIWvDY4T1V/FYKIrcau
e6zU3ifldIP65NJkeDbcPIOPIGr/oUHaumrn8dGoB3mKHAdntts/1Hjfdl56tYyrkDG0R5M+m935
B5vaabXURsSB0TexuAEDllM98zP8YHfnXFSmQqrVxoQgl4w4kGSg8gsgUGhjH6Qg3g5UcUiT4OtM
XHD2tIDqjUGRVTLqn/7G+mQje1fO7JMOXtDg2YeC7J49wkNpxBgcgBD32o3nHnybsKJSeuOewxMq
Sw8pZ8Gwn6bL610XKkqWLkhCzh78ObqUODjHKOnXEQpxBvi09O7/jeowO6MC9skic6033bvSvOU+
VVyGS4ejLkH6jFbtDXkSHWLwrh3mKZqCtf3Gq0hllqRbTFUp63MQvVatryuX8ecEYsgh7NCkziWC
mgc02BZNtpj9shDt+v5C2FLRcl2QAiJ9hROJYD1D1uwO0wPxy8Qr1+LYonh960psdkvtrCYJtYK0
8uYcxdANYqS8bwBUOA8s5m0cy1swgDSzjHF9/81CVrgs2m68hFXqs3Nk2DLHuHwdgx+omSk8p6rb
36kD1M3JBuCJ3MZ8i8D/Q9XMeKYJ7G9tRYDSPBKoJlNSTu7vmJtU0wki/1VOar7cJamwSpz1HSVH
nlZCiIcd7fA6FsCSehrf6HyfgEk4T9jZWwIn6fSvMEejdBToKUcrtdZWI7/+4tcKp3deXUpm3cql
0qGax1mMuYxm6QBaJfDwijVIykDVahfN/aFcaPLEvb0XQ3tdmKW8TMG+mxg6q7Q0DlC3jyYhJLeK
IfCa3AxmmAa2YLf0Hu7fP+RIBALbe5cTnsUIHZJt5HuPGmekxf4319abYRqpaoLVDrDo/teOcglh
mlT8GmvCfDiP6RtmTkhhcYbI9E51M0eMmKA48OOyUVOT5nKT0v46UE/9JjYzRGmLdg1NzryPDGI2
Il+mFzXmr6qrFSbWoMNhhxEn8zD5cfPYbGAdprm2eWWN/HQ60zzKCREVMpDgtSuPrbbZDcCz79ko
BdEu22yIQgokUOw0aepVXXgz4unsQZjdtHEwP5ydygNPO0/k2/Wsjwo9nDFW8teU2zjd6O8OoKzm
gl0pxyi8EaL8rQkg51r7GjHgwI1YiNjCcDg9ABbfx12dPKJSRH0aw+O/B68px9/NqYBztHgv4m6i
7IrmqeSjrkWVW4UlRB9rWXumbH8OIT1i1ArxcykmAlND3rrUZdwyJf3yMaVUfIW6lvFYv83QqXiR
pughKz9oC6sHpYH5uVUSWIfocFLep2k7nGCGqS7WQ0Ii8Vp2orjU4Txf04Yyu12IgweDecbu3j23
DsXinZ4kYpcw6rBCWZsX0c4pEVux9LiEwP8y+Px2xi2JQZerCwkHIdbYKWMiwt6tqtqE4VhdLSur
4MoXbEj96EGWSbXFHZ8qGjvG2E7tE08WIZnVk25L9jaOUTVfYfEzzsBXf8fDJCNyKjdOH0SejmJd
3Iks7L7JGblae7GYLKwT8GObtjd/0G0qTnNsT2TB1G93wLo3JyAfc9t5bMNmYe/yrsT4sQ7YIj/P
XbsOS5o38xwjf+xSB2OYErRMR5Nu+Gc7TJwf0wEuDQgGhTJxlYAd2+U5IGZ8cKeMYObHKiCD2xEA
oSOSnddOFKQnWVIS9yzAV5t5sfZA319UpAnbuk4X/kAPySe+hrstsY1hHNj0m9cVN+DBn9V4QIlb
cEzWSkGnmC8dvapYm4EjSFnC9ogzxawLmjzehTZuZ+UZ1tbMYw7a+i0h7w7DekZXnv+HN4TB7aNh
xMGu1HhMrCBEMtYPJU7x3dCGTJJndaocKVZ3Vi+FXbAiXLS8GWnr7coOXd6/vzsyzZ/gDryndmDs
weE5P+R2/AOp+THD9p5MVbsnhY76qBLg4IGBP/KJXRY05zuuutFxE2VCw6Yoj4kp3ytiuu94rtZB
YX8n0k1FgTKiX/S6Eb9MpdWSjm6u7gsihkrQF4QVul2OdKDm+EMsBYfkyqdnhcFTTdFflFpFgG8x
mpf7Zlslzpcc4hGSR6ouvX4YTDxQ0LjFIe2eGI1c2KT1+v6/Hwr/07Mq86lW1U3RS6Be4kuOG37V
CqTQ/aPFTkuKdzXshgMngvnDDv0Wt3WPHKHmIpCzY9+Msts2fTt+L3tqXMSE9kNUFckFDQNfGGlo
SERr1D3vPanZvT/NH9I6u2McHEtvCNdLVKQf+eAxqnUNThatK2hK6IiWfPwaQ9/+TLzmMpofUxMm
vyHaoOMQtKj/UoO6SsJTC39HZozZwsUBQLrNu2HAEEeK8kmPd/QaXDXNFO1EhgrAQWp4Z8j0CARW
gs667TaDxjtab3IW71lR2A9t8n5faEPi+yCpdR9em5pr1pTgaapDnkQZXaEpypsFxkJlzhbCLpu+
asoHRGXPMOmNjWNH/HGa3mmI8LvCAnLC8RgeiCFctnd0whip66RNbmk618fZ8OK3cg5uMxD2x7kR
yduQCLpsXgrQXX/R1n44yY7eTw2l+sLC3UsjPRM5WDxUU1bTe8PVv3TAm40R3GgdChS1HrEpfd5O
e5Wq7LmrWYw7h47uzE53TGd5+8tGSxUEgCjSeJV8j0QEGndIiyBpxqekxSpvCPQGOkR1Kc3z3w2/
8ccAZTvDKox+Rs9TmWwTV7TY/X1z8EtVHIp5r9cZkIm89HBtg4bsyuEtpemIym0yzlOMYwXtb3eJ
HFiSSfZwX0+MqJyg0XkOjhUQhAZVyKrgRjncAe3LHCxH+hQcHAZGjF7WJD/BGTx7rFiXBtPgyuxb
/2iaWbNVinR3he18G1Xt9NDkf+4VTsG+xvEV7pOlem+X5YJI1/v+XmXefK38+n10ZED/ltUodjAG
IvhotnYqbjXpO4++lTq3lNnr4tZEkZjOTFkaWTRrhqMbtExrejvEyzB79B7n8MhF2a6HIMzXCQaT
DcPjk4mi6qkPK+bimr/NLMl//vsUEBUa6H3GmuD0qP42Iw7UYjuwLl1dn4xUZ6qgcj25sfMeGmG+
FwlzR7QBMPHgCtUo7Q9B16YHtlgaT8CMeC31NxG1ciU5RocsVM+ugRGtyEKEJSz/+IjRUrXFlwON
oO+G6jVqzQckgC49IJePKODXBs7411JxtjJSB5tb3V1St2yecL1xZuB2YC2ZP/B4w2HTf5OHq2oY
iaG2sLvv6BaIS125G2WZ7eXOjRlk/S+kz18kmW2l5spRUbHOFSpmJvyMb2RDZ68mmiZ2vjpGAtxW
2zvkN2MiZPe28zxGNdiCQh6R+TymeVyv7xgZMabOlZxsVK8o/dC6/wEowt3BP5SM97imwVS08un+
VEi1dur9iG+NZTU0tvGAMZd2Euqzzpw/h5jZbdGR79yE8iVQb5AO9kuexj+ivBrXmSPoTyZusMtM
5inwa/Z3TOowJsVuyOxrNRC65+nYAYE/ssGADQw11Xb5fx1ZsM+MGEAr5ube5B3vAOP7qq8zvmUT
eUeBEgkvZQKKpyHLG1wggMeOcvJ+bqtHy1ojlkA4rk9qiKmiLdm81V4HR2B+SP6YIP0q9P+7qaCk
ReNnH3Aho2zX5rMxVM4xVSN+KM9Fftj003Z0GUaPd+6ASEmqzaAoojlLtp0TpJxLKJFd7TWGNMBA
o5l+diailjIj/33oicIpQygnf/9p4Ayh/9JuRNXId9snFCZIE3lA4SDfRz9m7mqV38vOyy4lCCtW
o6Eigde1N0IjMCWGpXOYNF+Tg/fpTpucW3Qs5tzD/61872Xu+mDTtn/IZcSSauU81BZjQhC1a1qP
iiHOiJYWo9/OL5z0aIThq4Q49NSy9jQ6LQY5Kv91pO9SKTP4m0LF60OJjhgkwbSeetLZzVSIyLWo
dFSIkui+ZNS+Zx6JHDGWHokpaby3MnTopGbNz7qZDcbwcDkkOM1Vy5ZzXyvvqyarZ10OFiPhMxi1
as1BkPQ3BWXKr2gc3J9VLuIzot5o09eAsqUHK0kZdgDryjqYIvoz0jbe5XPBcPWe7KMuCFGKQ4Cc
Zz8H7iWp++S16C9U9PVH7xTUP62bvAIE8f6uOw4XgP7OXls9EhLMd34VOGtuW2/X+l15qo2S28m1
XxxwKE1PLpYXt1+4Mi/CZFaeYOR+UqH/B9OZRSPO/VNCKrx27vhtSZxhB4WR1kDohK8VMZ9j7O4X
hCxrlNHDU9UbhwmMHgBwJqHMjnB65gnc64gDWRGHSLUHUHK6gDd64kjui0pk+uwWst9w6y6PkbUw
SGQlUx5X9xjP+7KhqJpdTM8ypuNblu5xRCBzcYLpe0Tg3dmTi39mjcwgwDDzylljX2rWs7BY1Gtn
cUj1c+edZSv9leTDs1MUPtqQ6MRkbd7UdPUPcy3aR5/LdpW1jM6mavA2991eD7lps82X+3Oe+5fS
n+qraBt604K64J5yYsO+Py69ebxvZlLbp1vH5DYmtcwipkVnkNw/OzfRJ2kxBEwngeIF8fxtErW3
SiiLd9kPTjJXz05uHRptNW9q67lTBiYAdzwlFl5wf7mALBm2qE+L1zmcF0ARVFA5xz+p4SIQjmwm
iyMAEIiLNwGd9cQNgy5qGajRbXJXpDm2z//+QpaH8kCiGm3JJr6GuqUw5+Ef5GJyh+H6i/aqvWtV
JXNyTWBSSpy6a6/w/RNHyh8jchtG46xdhp0RVVWHqP10VRGX/slNwC4o4T3bZfqCH4509SrytVmM
5aRz4005wAqg3p9pII/tuiQ7O546MuWGPHwYAuRFjZ/V1z5iJGuxafTrqe7sDe7PD7SVIKaxbK+l
3fxZECAcc7SB7FuRz0ku3tzjUIrAYPpLVtVxSbFGsj9Ge0k8wENdjpQ5TDOwJEBKr8MYudy0M6tp
PhgNEW+a1fYUt8XTXySxdILdEGeErAGC1QforKU1COcHJZOOWoW2E2u3AgdrUFdMVVIylJrmzc3m
lCYcHRFDpCdeGGgUA17W+6fmcHiT0GnWshDkc3mckLsg+d6M5T4v8m8DI85Ho5PfM5e+YJ2y7pfi
BW2gepMjgLhq0ETR+0JCy/qx6OkKm5V0X7PUfEhiuP59KaGAF6o4/nfNj0/oXQqysZuGer+w4a1D
pP5v04pLj/6PZLt3niqJ9dzIT4KkB5qv0fsUkS9Pm7mhDJowFyakMaCobv6A/kmW5Ija5UAH+rsZ
aBVrC5i/myFgNv4qtuk9KJKPGrt7JwCS4WSMow/F+LXrnRfElFssU2wHqfWipuBnbbnbsgL2s1S1
sc4iee3q/mJB96CxzrNw0kOOgTOqRnh1nixWjBO/kA29ERjIS65DivxSHm0v1fQbBxFtpm7x0K8C
k304DdsXTnoAiRjlYlnug4qJAZb0Gg1Om/R0QuatgX8aDbIKM6zmMeFB4EuFz7ixsRkrLYQVOIXY
RgKlOXJKwzaJ/vJ5TYn2PJTt/yVv1frPgFPLlLYwBRNLR7hC/Gfeatk2ddBPaUOrudooelCPs37I
/GvWUYM3zlwzUeLBEzUPrvevD++fi3riKE3y2glhpeyjpXqyowbygFHmxCzYJn4gKe3nvw81JWel
OIv8Q8dc/z+Fgv9/GPeNtvz+OvzNRt/86H/81+8SDOv8+KP4/T//IJ1w/F3CK/w/E7/v3/OvxG+C
vR0PbJyPRNQkNIPgDfW76//nH8L+p+3bpgu13zKx4HJFlCTskertuP8EAxpw25Eyi9LB4xnouGj9
JflP1Puub+qUbtQO5E7fE9f/M7b93x//FwvrlQiTvuNXSu8/cn1My7ZMSxCrLE2p8+H/I0IlmADH
IzlBo+QxGwgFU0ECyHacwtqdk5d0tiFozyOmbpbtRPt04CGlffvUGtm0CnswlIUcyZ5I7DXE7Ze0
DcNDHmTnrH/0VJxenF7s/LYT68SS8br1hr1HLd5a9TbJRX4M6BMj7AwIbkyMagM6e5swBD7kLRdo
XlCjchDlRJ5uEMvUq84Y480Qy/lMigPskupahCVDd6Tn69HGAsR6zXEoNZ2zWpKYlYDPuXSqnQ5Y
4CS95liW8SEr/YEFxAfNXwacN43pyfXM9UxABsYKXEh0YxngkZtB4KBz8iQCq3SwtmHja4BUvXW8
nNWdpIY1o330fuWPgPubTqn4FiPR3qQonaOR7LNY/iajudhO0sX+EAy72XRAChMbvbFzKFOKXiqy
+EORWMm2WSoOWyQub21srGCZoN+VMVqtHoKW1flbFUHGFjUlAX03P8IENJTNRzeiBK8HbDzmBOeS
rs2qHpoHrCw3o8JUPJV6Wk1yA0ybFcdWTA4278VCbETghVjIGPn3Pbw1RT2E8o+5UYY5YGfVbkXr
b1i2fcxRe1KxhRIetZKDUsElZhcFPGqVKqJNqFzJ99tuuTGXbmvnCE7cSX6QAb8PBP6dhvGDGNvP
XntV0dS/Tn6i0LL6IJOV8dsyom9GX/4uVYxGNOzRJMtmY5UlhXqFxArg/muL1kalPv1ojz9TYOqg
2RRv/a4WG3/ifE2GIfQvWeLKxmxo4NjwqtxmDByqTV4ya9JYGP7EHGFWa68IA8lXNdKVXW2/C2kg
dgXDYnJe3wdz+82dtvXo5SvTtZt14s9rJRJbO7FbMKDIv7GtbJyBlMWmrHBLSWPrqu5T5/YJLbJE
GLZNExftd+/D7ub1m3tG/OEAPi4JP3oofcQdTt55yXEbtWnLuNAxMZnkaIG79ZRgJQr8HFeW8QZa
4iEXY4CGadHcHfqlWOnWQe0/hhZi7DH29tDM5Y0MAoUAAZ1L5XqbVBMg6XDsIOLY1bynSX8rrAit
q6RHPpqrBP35Ote6P0/P4nG8l/P3QUzVKZ7rPZf/u1FkT4NJygmYA+b2E1SwEWnhsED9mCfrvY96
dsQSRXBkEHRpk90CBytFAbgV0v4+lQ2Xll+8JYhtfJRkqLolAjzy5eqorw4Wxwu8ch0J3oDjrJKV
RCDT33dywIXKBW/55ac/ErRYg2om3GrcjyDAUPJBxgnVxHTEwUlbLHLDZApnuAstAdnyjkSxLzQn
8doKCEfoSKeyF/9CLNHe9O0OYtzcrx2MjCoKnmkS0gEQIzdKkb1mltWcJjDMGxAiuDhAGSfJwtEp
IZ5BBMKif2xtI0lDFDhrNJK12zU44SaL69FpwU/XXjoy/lrPDJJ2skG2lUfIxcWXYpHf9257yAtr
wFvHPTjM5BNbTbKdU+5aOaIrMFp7088O97fyMHO7Po6djJM3qogVDpUzaYQfTpyVqDZGrM/+OlEK
zVZYNassmM3twOXdMaKsmGdCq+d+5oXhCIHnd6bmDt2AMgh7tdkXmCE9i1Bkl9UV+ofMQaaS0Zmu
PY7zNEVCayUrLLJ+8WsyCzif3tzuG8IZfZRNawgoWET8RWtk4XjN3exBsrLXYMndVaeNtG1oPHtR
8q2vHqRvAWjzgVEtsC2T9H30gJFhFD7n0jJvUSl8qpXlsBTmVxosr1UUkGfA5cnZnZAPwd/mdDSO
t7bS4aj++AJgmKgXgsxXVE7nlEbjuvR/DqOLUthFaOni74nCb0jW+l0ex4c6HtttyMyoRx5PpS1T
5NsY7pn5OmxuyU977H6hh0KDHprA7wzwgYCmQmyvAGpF/jws2DkGD5NUxPgG423O8WuKTYwniLOF
ufc7RvW8Etypr56vmNLm4LnOYda99HgZa0eqXZRmv+iE4qpdyItsW4lZBiGlCVvNLb/KBSWGtMaL
YYSsYkG2z40O9R4T/gr5cWY55VHVdBvzaIQOwuEsYwZCxhHKisFFPhBzA7YmwhxoXI6tGBzV5i/9
M6z5FoHmR1YDbNhELqF6o34ENdOvYvRSDdjUVezWzxIiPlE1c3KWA/7DOhBXT7R7jzGQ1hwDq2kz
8Cdz9ErWNxJBHFu0ibGDd2EAjMiqXhEsbeHTQB9fQNvWJa7QgiYKpnPNZujXDbS8TWYyNa8zR2fZ
/iT+1bnivBJDdsqHCkb+mD/5CZzcKiZKpAnfKRL2vReAG1JmRIUCAIQY9v2S9M0qXYxn7tJxFbWP
g+ielxa7naG498P+UgtgM/24fHcThbFjSj+N2gWjRwPbitsdGNVzAyIb1TpDNE3A22D0oVUixg2i
lhsEaNqPrY+oYUSdusnQcQMMswhJylOiXmgm6h4yORshVtN1mUSAnMDFlHX0OOfq4Aq7XU3Z/IJA
4KNgUuTEMRvEVCBwRfDmuTZIHX/JNwQ6Pnqmz+03oGyTlTuuqgzLFOG7GHvCEmxKBtbOzM49PAig
asG2E8BIE629nUN+vw8sBRPCrkFTU9YYUfuQ2qQezyHshXK0hk1q4WU0Z+/cQUA+D5yT/CmcLwjt
ESsPWwc0DcGRrPUNTKi1Zy9qQ1sL5WnOYCBvG3JEXPXZ21DwTNdl3849xNuAehwXgQIJcmQ51Mg9
mAoX18STLpF7FTL7ZUvma4r1cThYATdzl9hf8RhRjlXJBlyavx+t/nkBS0hSzqvAV7lCnSZQEq1q
rBz8FNqNLfPhrVqiVQ6VGK4Z6Ncas+Ng1yhlQSBj10KE6wflbmK4vfYZTpIrXRm3ntZQlBjdOlV5
8AkoX1hLtNFU62SV5Q1j5WUasTb19mn2tEi8U8xL4KrME1N+ZLaQlhYQqnIpvW14IWNRbBOvm9fh
kn5TQy/eylyy+vnBd5hVKHnhAEAfmhTmsfaKFYxknxHBUN1Gzm7qJCQ+xKftBAolwzmKKooxh9WL
+Ugk6O/aho6aMd5Yh1azyVw72PhGCTuPA8mqRnaPGCs8BVZJpFXo0GzRsmpLDDS2LMmM10FPc+jp
sh5M5TCvZ+AW9x4SPO82h8FNetHrHEOOayUaaXozxoYYUpTWpulwYj/ac0qZtqCsaKRGe9MmHul6
dJlxYNo07zvtBaWNga+0zihVfRjApjOs0CzwFNzpzcN2eGy1Kh+lYUHaH76DmNIcqyMlZqONYfhS
M6rfNGEiYUblF5mtPoHb4cQWawiWeAAyfZbJDVITMrGSgLi73vhDnhMoxeCrQdy6maOZuTcW19ZT
zwZpvaBiUBU5KTVl7ft7dEMaYqDDmQMPrITCzjck5QEqHEJRWoSI4MkA5qe0kcBOrwhFcOm0b+Ag
ButpIEqojhAMLD1VZVcjgp9trIaoXdemYOLojsGmDMOfecRkQqEFRlS40Bx/SQJsPbGUO8rxglgb
lvO8DGlt075RYdPghf5AQssiv8QflpOEe7zc7yzbj4U5P/T1cku8vnkgMDuMqZYYyVJ0mGm7a+en
KAc4aajkhlMteosEvdVYcC1gUKgQ0RwWBxBOWKd3hzXJjJlLzs7gH/2InqDVBuYjVin6IY/24nTH
Dg42aIbgT1bAG2Q4/K1xF4zGdYsU/7UzkGzBBcsgflWwTSs6Ru2E2rJv5HWf9ZR4yAgXxEjZd1sB
filU3TMPVj/yZLhE/oSyYKHtzZryLFEiDtrMbxjpqkp6Uu15Y4NgMbe1NbX0sZgVLOmrM5jvw5D4
GAGdGw6IpzZzjnEOmUBIysRyqCAPDdpM4ZcnkM/rhXPZnpb390HHWikc6iyvzT4ZGEzE3NSiAoyI
yhKnw3wUZAN48ls+JVvlECUxGwV+mpEKD0XDjlqCdS8jnnMkS3uoHUqZCCZshYhog4o6ZgYPLZ5F
rlh7ZCrSNj2HNkWi5d+Wzt2HCfqzynZokEKWzCnBr64XYxHxuJ9sTr9Nzc+OWwqFKXjDL0xMJo2a
keWtyJm0jn4UbZB8I1rENnYw++bR70hfr2iKUugJAyALhn/S6NN13FDAVPb0KyRJ+SHmNkJp8RUP
qX+weIcvucwOtU5uZxk5ZMCMqXYi62QZ6c4NUKAidDDQ/w/zththDAfMJDjeEbIyVfOlT7HbDClC
XTWlQDLihWt2qvHkBOiWQoYMmaGOBpjm0gbJj2bmGWPMEJbWqy0+cfBookCQH4ZgvI4ZNs5gIFEM
u/PKR1R9i0fseMKgoVYZv+ayDKATGpBqJqLHKqRl8RI7qxZEhx5efxKzgijZRyUfEJAMNaJU5HBG
J8JDW3rkFbQemnphU4mtYZqXNA8CdItzw5WbHEQDPww5ZEzfN+YcO6W3ILFq3MTwxmLAY2OQHCdA
ZHEevHhpROibaf1AHZUdpx43Lhhr9r8SUZbI15O3juNw3hBkbSKY17YhTT8zwaBJr2z2sZ/TwJjy
i504LxGxDYypIENAbmFt8zjkWgE6y8owXxEc4uFs+2NExMM1w7ID4yiONfQb+S+A3UE9wB+hbm8E
uVcByrBhGo9U12t3qswV8VEr2Y2/USSLvZGrCyzrfetwr+cIIc4eaBrhc44Vw00ORndQ8/hmACg8
AmaHVwpoDok0LwEB3ugmyCCBRZcApYs0nU5pTp0x41iic8XBrjAJbQRnt2iuXcbocLEp7Jy6c5Cp
hz/CAq68QUZTCBav0Xw8T904CK2YIXhnNjfmxuHR1UQ9N8eYnwuPn8Ldrql7uQ1/j2D4eVOC5FPm
16AJfbSAnwU6n420b6ZNCzghCEsz/WTN8tPQxuYIXYW4ira9JgDOdxagpgKK2ht2sLCB6GUot1oA
PmfSXrdFRvFHayntBuNC8tobOH+1Mi2r2k9zEJx7BVVfpLReM99i06NNtu3saXiIwvZ2Fxx3dNMB
YkJxd+B5glhJsQK0Q7OeNQVRUmO0UBEJUWdRRCg8QajZmP5Yn+1c/SH5NN+2mqtoxJqwqFmLdH1C
RAsfheOvGk1jbMAy1ghoJZhGxFLbevZ/I/oPdzHkh3U45xjKNSOWEOUKB/WTX4bFiee8aWbqE8NS
xHr07VcBJLINf4f9+IVHH8tASoNLBOEWc3sDXJIDwcfQtm+qtenpheoaKqCHHkbPDBArEQ3hVlSm
9qpCBgrJ+Y7EV6YzutIeJJQdGcEGBRV25/EAYvcXzWaCboBhUo9U2wY8pkKitZ3N4dHS5MxFMzQl
MM0FqKbQdM1QczaNgLGjPWA0NTP74AHj7IByAqxm8H7kAgo0sZMJf3uGUYeLy/pBNsUnTgpGdZrz
KTKIn/Dt6SOF8jnSNNAaLGgBHnTSnFCbmdE61+xQpSmiaJT3MVjRWfNFkRCV1PCoG+mU4JXTHNJY
E0l90KSzZpSiaYBU0MItFZpgiptwK0GacqTcTBEe+Dm/Rm7Q7IxmSHeI/WBwYiYNqtl5+pb5ITR2
qABDODa7xeynfQXxZyVZswyNVy3grAa80ZcW8mqmEawS230Gk5XjKrG2zU/LhwyD7eaYTtFxsupT
houPkYAkSYcs1xWF/A/qqGBdRA5Hfac6M1x8oMC5OvBwuTfIEbZMEnbM99q1D0NJFehWPY4xF9Cn
7nUm5XcC31ibwAHA5yow8X3UWN9pP82sB214mCIuwXgcuVGV9xQbWC0kGIGNpM201BEgmIn51jS9
m1P6QOT6o2pjIBb1O1HcVzxp+DHS3lrjuNnk0M6oITn7YSIlQtpTmDmt6fa/2DuP5sqxLTv/IaEC
3kw0gLvekpdugqBJwnuPX68P9V53v5aiI9QTjVSDispKJpMX5px99l7rW5jtFsgvt1AdL7ORw8l5
RLKI9Xq30DLacTUcKJ/bVoICm6ALFJrwDTIoJ6S90dPpkJDI23mD9UMtofYlSJibHphMzBKIX5wQ
vtCbcCzQmbjrjfJmzslZzpVfU9ZYWQSvwLXVajExu+ETlH7OaNGtyULJXsz0zYiBWYVDXrllFl9x
7BHacCCc1euNifjqnvBPLSgk0tjKj4IFiyBa9ZdDv+YTEk1hI5PQa+nA3ar+U1Rj1yCxbSPxwrHX
r5gBdf6SDP2g6+C6Le2nN8LPaFrYAfX+bvEKbaJwwAuMB2StHTaSlpK2jLl1h5/OFkO93vBucsY1
upOoMpPV4D73ytJ7VRQIpGEoz2PRPaIK2USEGIMZtujls5wDIumwAzJLtJEO/jaT8WYK1WVgdT9Z
IUrlOX4u0/h7jBXCcYbqz4IoiAdtFrY4AnIO7fAxljx+ht1D5Q14c6gRPaVE8qUT3VbY3vhTeb4x
U/BSRjJogygu7KZLPnWdM1qwPGYBDcVsxE9D3arOvEfmXbjBQFa90q6ef4AS4FH7/VSLBDOaNN5Q
Mm4T60FXNXSJ6yBVNKj9CF8KygLEW0I4bwKhep/7nMDWGgB1MI4uhj86YDEYHvpCI9dkVV3P3byp
aihtpCBgqlxkj4AKG9l+zx/iu0+K6RFLRQ8OQ+mmKpNnaeCCqf1RqBWCcbKMmNzgomicyipAPY5Z
XeEkv5dZ/9V3dMSUCgpLux6GRWnxhq595gTUOflEWN/fbS4rjrYDdTqeRlqSgCtruueLF5fSbWib
nwyrnUvaemFbOldjUsafNNsbUYKgagE3REiWHxrJ4oHavf6tLjKtkGeIN6eN9c5J2vS1kvRHy22F
uAmrcUxHRMzKg8YgQZ8Wp3ajHLYJfnitLZSN2sNWljoXTOxzCsNumKyj0hvds0XYBU6YEQdS3Rn0
a2hzcsaD3CxYw41G+z4sVk9MbtCO0VMs+aS3GAylLWEc/WU0EA+mXi7171EYfmuoLGp9eAoMTcCS
Ir3meIJtA7qcnU9EhGgtjYsItNRGknmvI0G5Z5WG0Z3u2Gg2jjJQGsbGxGfmnYhFwkopB54D+AG2
oGO0qUrtA+E3zd223RUYGjxkqHZfiW+o54hrCBNOHn2+H+q+OWWRQs+X97NhcsVzDBkgZQdAHL94
vbSqTzgfuMyueDYABQpaj3rRVLRNqnMh6Ly7Eh5EL2nUNxHqjZ8J8J9SdpN8Cj9pYTP9KdutPmP7
lWJ6CLWY/L240i0UWMWBp4u9fBkhJngtjCmHIja0w4lPBkblNKkLNyfuRIfHFj802RuNvhPiQ5ZA
E4Hgia9NQqkjtz/WUKZH+rkGDdj61aR6+f8j3d0PY1CVISyj7f9ipHvspz/5V9k34b/OdP/+Q/+Y
6ep/aei+dVGUNYMWDUajf5vpan8hHkMfss50FUPURX7nn0NdTfyL0G1LNfBBa7KFZPI/hrrWX6qq
870sw1Lp1pjmf2eoq2l8J4QYM7O/9dMxY1T5GTQ0XTLKNVMS1/TW7887OIF1Bvw/5kqLQqVfe0Ft
17G16cNaHTodnmKbIuGAuqjcJiXWy5QFISejySut16ka8y3jW/ywANEcFY6e2iyCDUa68FPF+haC
5jWSOPkP6QIzLgAt2LfZCtcJzsHY+FMgam5ZIlESlkR2aEx89UZ7G9POXQRW1UViYdaUlvP49M4A
eFPTmw5XC1ATBWeYCA1RvRxuDd/U4t9CRK7eL6S/YRSUIppUtTIdB9X8koJ1mCzJ+PaJ+sKFiaWl
drVwbDwlbh+tAR5jGALaDQVMp4BhLef0JguuRp+fg4F9qC/li67O75aBKSazdkZfbBKFrkExgEzR
98JiFWh7dcY8NQJFGJKOFITv/Uo0mXMKcviohcI2R4arDfWy9Bh91xzvsH3R9rRKmKNrlVtgM7EH
hj1eVdDECxiQIGrC8FMaP9JkBYxwJdE1Fnz7Qad+hQGHXDEQrW0qlF/9CC3YVKDyWKtNHi/rPUw1
6rZfWix+KTbPLOpfkcLkoOnGHTb7Gz0KPNDsbbWEbNViIDAYsUrPjbkvfU3gLW34Q3ZQ6/URXDWM
lDoHGXa4fH6o7XjMknO9+r+tQn3LmBPFeXTGokilxunQVaNfwxC/wtBihRYuAFmPKchYQ8tg80to
7yb9RczDFN5IQPVnDJBcwoyREB90bGku0S09ptLy0wTFJVbbbUN6fLxMsi2Hnq4YXMBcEyFFmp+N
5AU/Vg94uq1omBvGsz4pP0JJD4dpZO2jKn3ltPg5WwKXx6iufViBA6jAZ4KWWNfyZTwVaEPtpTbV
O3KKjvqwU32yEGzd0vpj0HFMZZQK9x7zeDgaDxRpdMR1coAYTdulqSZ+kxJNrDEqhnGQMHREjl3X
UPoWYl/0ViIeMwWf/CGRQZfDDqZbSAYYTplIhk0S4IFp1F1Iq94M8LXO8+i2WnXvJ4m+0kT8RldS
RujsU8uwkS1cy4o4bpYSWjbSASKn1Ec9tYjequYFDC92COSXdvJNUMrNkMdtbNUPJZnpWzD+wVsc
OWKvvehov0W8FxA/GV2N1pFK+Z5FwwtsKrznKsfF5nmsjisYRE2/tZHm1DCoob9Mx1hSFVtGqGur
sg4+p301B6BQef1iyd16MGXzJUQsDkKAR4zS6D8Or5rAbQLByNmqfmphRiISGU6dSrFA9XksJvxI
UvtVILxHp7EQkqv42vpjJ2b2KTXDNcAJT3upfm/RZE/Ksa6jc0aEUVAzNE+y9FvJF51WGnMVyew+
QsR1XB4OlTHgRMFOW6gRsA5ikKziNjTzfd8BggpDACaFJX01wyoJBdA/YfbAmfBAj1raULxJyqoJ
wkw+y7QvnGzSvouVv8UhGvyRHDceUUm8d+S2IZ19a+RC9to0PWnlIOMYaklZiCVGVbWrd/NbOFKZ
htCLsRAiq8bKO03ZZyJhq1ySaBWFTHZmJq1nNf17Woq0r2gNgwNP8uGKecInQnTYDuCk9IHQOyQw
rCPzcpzVNQGsjrlAkJEQrFUI7NWToIbRRRKaFM9tNdg1z589lYfOAlhlZWScRpPGe0w6gI32spl2
44I3B2nxm3CKeR0Y/UgSpZ1A53387cAAOdbIzMXS6yd4c7OrBgHpnzG213AfBsIp74zY76Zplw/J
dWp6JMAmTv521OVzk3dbaSk3StPui6a89bq0UwXuR4n/FOXz74zt1KqJpzaXuVrJO3jjzI9W1DBG
h1/sOwQux7dyQn9NU+e51ZyWizmz1bRBpQOzxKa1qIan4NkERwxSXkxRDTZqiiZSQQHdGgehwv6t
1Yjfk7RIjo6AQKHy9GYwd+gCicvTxafCosXPLAKpaim+So1CGHwIowvqMAx/W0ihfrdGC65knQjB
iUoSnGR10JMJENy7iAVZWj7nZHqWJA5RXSwpDAtGxK1J9hYzq3KDqMKcOS8+KxAMzWDY6JDLvHXl
slWl8ksN/UpAyOlGkMhKM+OyP7Mog82q46OacnoXpJUzhLR8rolTWBjrobZVN2SsMXjpY7+uGPlV
zM5l0gVseSr2UTOOZwV58R6iDWmIxAabuQkxwiwbyNYy7hA4b0k+ZhchA2+/UJ24kjRj2MMAPpDx
LSrJqRHXs4AJxVMB3C9XEbwajBzDLTDjKz0Gklyj6l0ErJ1EOmTQog0Z6mY7ubJ+2QrOYokUISmf
kWGHdkz2nDNlErNwVBaIMD5hU170OEovSt8kLyXt817or1oQ/OD6vnWp7MEF28QxehqpT95CuBNs
CwHT8X5hqhRQlVe7UZ28jKLFDk12Us5FHAMgK6JJc+O0QILChHXU+vsi0v4OuuVQmIKbS9PFmoxN
zarl4TpgkoQBlDOCYFuxhbOafMmNbATficGxlmlwifyBCB1a1hLm420S/Wph+FbB0EgG/SUUUAiY
ynAKLPgGVncs53UwYHGSxBv8bgU9HgqReWqij/esl4//71WW1L3fZTU3MWPz/wk6L67+/MSffys9
/+P//+dftv8uBF0VkP/pF97fashb/6eZ73/aPuv+tbD+v/3Nf2oqn+cKTeV32RcMtu9/wrgs/nMN
jjzxvy7c/6HFxLj5f/yZf9TtsvwXAA7d4plXKLdlmcL5n1pMFJeqYaC2xBCmWKaq/nvdrlp/6WA1
qNwRY+oyBf2/STGNvww4agh2NbhT61Hgv1O1K6r0v5ftsqojByUYRNNMbJAyqs9/LdtB7xvL0FQD
eADQC03QENkS1Ki2Ep24LfEZvijRNqk80ljCNp9n8spaYBdjNpF2jPWkEcQ52B64gmm+1TP1OU4T
/Tj2w1szozEq9QXF1LQQnYzUxq7Dtju3CsOQieK7ECqGm0Usu5mplxeZ728vg2R5C0XZ3lyUjQjH
+1lKaQfntSV7mYoMvppic6egW7ShAZY736gXc1dPlJJI7ZDejAdNIHcAP9FIUhBUOCIHILZPuIIz
nRZNJ7Nn5+n4ZIjnJa8hgagwCaphDSXER9MH+3y2/nT5xBm9rpkhS/eMPceeSBm0YzMFrlxtMzF8
SYMCL0XyErYx3yTDxy+DjmrqkIzmvLNxqJgMYSVSLvhqT0tRR3Qqx5VOZmRnBtkpruojwBiwD+Ec
/W29tydBetIIkpnT7j1M+p9MnH9DpfxG1O/VQAICK9oWZQLTrTzJWXfvc1pQ0XRAdv4wBqIgMtN8
wR3wqFpjZxn9t9KhXZrXyISs07y5mUI0MD52z6s8s5jHuLxR1LwxTLw32XriCWFkhtimOvNOjkEF
zpsJG184obYVycpGokoggiQP3jT7eoTjuEjvJnk5sjo/+iL0x+qlE5jvYrK4DGb53OhwR0PjPZnx
z2h1Q+8UFZWB8IxmcgkYoxA+8P/oW7qfT1VM2aowiirjiONbpf7RSkk/1YKwl4boiYaR5bfzxIxv
IonB1AWUvnTh7V6fVQe5yibXZAZFNCsJmUiRyBT6pqlptVjc15ENGShpjXosBloY9ciHcG7nJMiE
LiDWZ22ZuxeVGJOFhANDa25xKD1lYUVNL2B+aDLHGLCPZTK469kc4XAis1VpKZExlx9IShOoAS0i
2QeASrM60SGWAEHFlhYDJ2gfWV3QztPI28XM+x2wFezDGrtBxgQyCi3q5L56w06K2GbVIaIXRABq
h+hTXCWOmGixqVo1je+5wa6P8x8JCOeGoOJI3Q7onCQCidBNS6hM/B4wrpplbE9ioEAeGuHSluaH
mdBbC4QZTbMIf7roLF8vJ+TUsn4POARJDZNEskTQk6bpg2lbtYlzDmwEOoJMJqQEMB3FS4hLUcsx
UhBnpi8jSL4g+xMZ+i1RYmwObfRjliXjkKS5FGTvkQHKoWGR4HM1YP0oL97aasJqOnJfa+Sh2Od4
ICK8RSelmvxE7SVH50vIt1qrEGuwNT20PIg/wtrqfa/B5zrMXbdZDMicGZ1PRq7lCBmTgzJGnh2B
blzSn8GqRAZCbQ9gb+ZNMMcrX8g9SYNP00AkkwaoPWZZ/zO3HB/GdfIDRo5XAV7clF1EuWlsRQAi
XsrGNgvByLKUk5+ZMyLpiIUnC0XO36apr+2+lwF5ZhrLKVNQKQX5TesU/kVLV0Ls3Z6CiMGV8Ukp
P3kGc18njskElcHOdbQQnD6J7nOGijcWFoII2noi1prwylQZWMvkLCNoBRiET88ahHmUHhW5uEoE
WNuI0S7KskoglM7c6AaZIDH5l6bV6Yc2VbeqFaQnw9CZ6dc1I8NTTaODGwLiap73MppxN5+LpyT0
OiPpWQVkLn+M+bRDrc5z1dQbsqA4U/MokQ+CmtGM0O7HKcZDIp6aAkgg9/NspQu9htlC0s4gcJIY
ptdWa9oCS0iC+v1cSCz7UGOioDin44c4thRACl6gzuJIZ6S3XIrlXQ41ww4iZvaVYt4hxUSXmlzM
bWVaw35WhN5FCYH4ShT3ZZFW+4G/rMZnimAa/HUWuKoYvyd1O4AXvi0LYsYQCGGbWltwad+IUY55
xTsZy5HqFui8o5YWiVKCdRVpyFwDXNl3GWzydhFZzRVq4xr/NalSr23ToDAhCbLLBLftcX2BusTS
E4806+ezVhZXtCKBz0iOY+xCaV6UaeArmJgW4rkQtrK/htwqVzGlEeTMmt1S0xJJz0kwKmC+5cvc
JkdmL8dpEVWvUQGA6OXSnKuq4u0BBWhW+CYGod7X/HMcTWRFRglBLk8ukWieEnX8gX2YJzGHgzSi
Jcx3t0NESiwy0QWo1G5ZeoBlYS5vjMDYaWJhbJAj/pTzrHkifFlHyniWioVEMtGIWPihxPttn2xA
JF1iHA5eZRKuYg6UtRGZkQgze0h4TH40OEPsbtNXxOdvApRQU0hiBMZ5n8AL0Ru1+LvLeo8xDx2y
1aQ3Qw6SZBE0SktaEqZnu1iKbKtWMdbKxQPsi7gxjsjXyzgldHqVIR9V/xQRUsCkU3WHt86pjOYT
8efCVCDekDL6iUicYL18PbdgSA9IUHOqCim3IohghcgNyfWidJuOaXI5CHRcQqwlRLggbAnPemvW
tAZfVSxrt8V8sNRadlXzd2VAmilDeFfprhIqLoZIkPQCrTSPL6b2mGn7mG6iguWA5HVXzoLciyrS
kvF/GY4VjIuLwJ0xKKWZC8CZ9mi3/MpzdhJa1GiZzGDcQG7RsQgRhreK8hk4Nr3upXqLp7eREB9X
4XzAVQ6eNRYqp8J8q6W02gDf0tUvo8zNO3NvijLzHFF6ZiT/E8sBfYUcZ8rqMx443Jyh0T8H+joC
aAiGKYEEObruZrXmS4n103OUc4ucnqbUxF9dJn6AJ4IvTJzkNV7qfRQoaL57SrS2QkahwbNvSEQq
uvGrIC/IEeY6QTxvIg2efsRas7Y95z/c8xqPbjc0ZDUaDFyjgDyXivy1LDfph6S8QDh0mxaNRybn
2yUFnamaHOn7vmLm3JXroELBoBMCMEMhBKiPWRI5YcUhCrVLpZF7vfCYCPk84mk0XjN8FbtF1CI+
GfP2qNWeZ8Z/gtRfoyL5TAUu6stsoQ7keMA5VfeGWE62ldR9gHn8GQY844GhQJQOWSLimLH4AlY5
j5MvOSYea7S6yJcLAaGBxEu9WMwQaXD1XicTbCIoyM7qkONprQu2Fo3fpDIlyCeNA7y5X/z8XhoL
50VXH1NI303Iw5WssMByrVu2tJmBXVpv0lWRqFifcgnhV7boqunGjbx1hFnsN5a2ZrakXsuYHKy4
iGXAuKk6lZ7ZfhEGNH6wAkEFi16QY86AJyXlYzJfgdpyaS+UuViXkCZ/1P1zp56i+bvKT5p2KbPr
V6J+JdmnGb2NQLWQdygsG3GygehSsCN1KCw11LVqTVxbaZfNYifydxW+QLR2QF6O2U8t70bpAuE4
txwl9yVoUEOqcpjGEILMeTnSyziIGQ8OKtCS9j6zZkQkxnWJzI2gYFsNa0dJ7w2IUQSPu7JSTlnW
nCGEb41R20UpGT7Wm0BDqiFSTPdEvkc6lnzajjc7d0BicecZDRKeGR5amOfDDB5oMH2NoNmu7l0j
+eygrVKbuIDIvJiARxFEoy59KANIho0RfiU9C5f0IQAWt9qbRdtNRmVZll+meKpRptTSpb6PCsP7
brr2tJSG+iIyLgeDQVdr9nHe0NJ8FMPa927sjOMJkNRFfB2ID2Ik6OhCdOdO+d24ms7SU5/Ra0o7
x1+sbSMjdiBtqt8lKTvzuj3gK84fBjx/SVLJgnkDUERcCjm9Ob2aX3ShlOvyHS2/r+iNR6r8luHo
2h3N0MzyzQ65MGxLLdmjldgV3bLDTuB3FHkRLhmz48YQQJcENPKEa5xQ/8xP9R0QTHdVf2l51YCj
0XZ/V4wrZfJtxw0tx7A/oiDIIi8AOx26EJd1pIoGGWdeRwQnPSCieQIoiiMr0yOwGJeuVZ8iHYkC
ayw8Ty5b1xH7RfABCSK+ozyhVMn6TZvuYx1NrMcQoaxKJzmat+JNJq2V9BXBs4JLKEG53c4xhRxS
m8VLRdqaNHrdSDxjtzDlfaI6NWxiVB4g6BG6JzsIfjCZ6Fr5grEbwACWL7Dl2/BESAc7p90JCE9I
N6N+E6d7GV3G+YQ+3Y6N5zLZk4Vac53Ugvmu20joKLn4DAJOFAStbnfTIdYPBETlnzwsjW8OD616
ZmkljSHK/CDf1OlWaTCIuBjF2d9vAT6ECPl8+xV2nGQhRTtFCt2ek55bLL65XMRsv4QbxBwhCUVs
02Cz658wRhv6h2E9jsCk87hl1ZoJegkMzhJgr3bxnfqxyx2C3eSazjJkQa/R7zi40BxNJuBdWALH
+lPem3j6n7LrcAE00ryzsMbo5tlwO/CDDu1+FomQoZF50FFY4elv8KT4DKMsQkNgVGAVQe+ABnjx
Wa4j3Qs2CX1AFBW3Hm1V3dk9seeTN1kno962EZa6jY5EnzybZVtQ42r+nBB37s3pXgv2pI6zT7sr
gkzai7RLVc4v9bLN6++x/EneScBeWfwuqQ3DdVZtlSAoRymeeUcQmm7RhGmqRxRBRh4r7IPxkFtP
xG06/GUhDOVU3vNY1e1XKkG6c+fyB/siQlrbvMXZk0ITMC1+SWJs5vWnWtq3DEFzjqJ1BoNyVFFS
BMs2zZ4IwMxIJsEQc8XQjs6u/wA4nNacjXyeP17RqHvjOWuwLSS7ycdiiepDzQ9Bcc1Bd8+qj9Un
LbCO7gyTBAKcPU4M/Xt6ys/gcfBCzOkT7JA2uLaM+LRDT5SmtEln5DVeju+wca2L9o2ekB4l9j5A
8RQ4ta35nGnptVPCoyw3JJeJbKNAWObfLPDvYeCJwPU1Wr1O+RkAXsDRmHuluDO7u/CdQnPIiZ60
Kf6AADe1q1yz6Rxii3Gab8va13ReecAM14DcxjAXEUpAMCmpdE5mbidhP5vMAhy9/+Q9V9CtTF7U
7hVo7SHZY9vVZhbvdIRipDaQOb6c4tk2zMuQ+qgvDQAO311+N7U9oQVydGmkI6Lourg2UP4sJKWk
3jjVG62T+Je1o3zBeoF7WKRwlTjIeGGyq1Hk9LwWaMJcQXEZUiCzb2MMake9OHexO3/O8kYGbkEw
I3IsicV9am+atUlhkod+bIn2kvsUGZbm9bFTnvlo3Fu99QXNw31X6/44UZcc9f44lpuyOujTGsC4
SYSHYm1oqlG4Ds2+iz3R8mbtFhs+gVmYDjvlmvOxQzcv9uTn4TLMP7lxaXWoZBvUPVkz6T2cXN4j
YfaLYbO0W6ZrVLdAb3n7Q+EJdwupwkywiQ2BgUsMNI353DXaLckDJuG7MoF4+wXVePNCDDyvuw7r
QDqZwxZDUepZJYhC20wOo3CXWKuj+M7zUye63QvXDHPtND1ZyossP5uGO8Vo80Jz1750XEuZANSj
Km9E9oNo0xZeRig4+dV4FBYkTjZ9iFR0aPMk1h6Rb/Mu6uf0owYpPb+kmVdS/5HevVFYUdbxIymO
T3ntByWoHcigaK9Czg+7WvC4IcZriXFlYUllLbNJhQLnqG2V9sCvsicjugyJoxc+nbWWPSYm/EPy
89JBSh6Me0KWU3jJpbsmb7D3qVtejVk+1Brhvrx5NI2cjtVdtccP+RfXQwMcu3PLgcnTJbpYktPQ
1KLkdYBr8UpRSVSiyzlB42Rr+Ln1081uljw1aHBLkJwO7aQU2jQ239fUoMJV8HtTAjKochmezCfM
n9CKRMRX+frZGWgTy0VV1Eo7du659SX9RyMdCrRt63N5c2Q/pu2z60a3JLo2IgCRTa5sxtWRUG5Y
eHFXdlcUy+bkkCqqn0kYRgOg1F7uJXxoC1U6qvfXmmju4AI035gOi7CPwkOi/g7trlf2ebZFBWpJ
bivdiggI+I0KnWIXs+x3rKKXcNaEa6G4cKODHMvdE3sPwoOsw3vscgandxO5VuQa3V4Ut2KJH3Er
sP0ZxLiTs4RGm0u/A68rJMf2NWFaufD7/tCQBH1JXwPx5jJ4ztAHLLtiZyleWZ7XY6W+nDSgZN1m
VaBOBz62IJxEaQe3rJlZPjdK8phZvGeOzM70zatYDSPzECfLCb88C5GvVN70qpsHtXakZ67F1Ozg
NRnJQ5p9ggqIF+MDSR2m+S888ApvF54SAKHpltVasVA4IU3cBfS3cO1JGznw2LHZvcfhAeseVo2a
U276g+DzkXrEKHDRWYv4Kxq3UXkDvAgcTsBCCm7PoYGyZnpuOsIqKvzP+GBPpFS0NHLUB4jtL1p+
hAGgXc2+2XNFC4Egdb3D0pOxOtH/Yrx2zJ7pwrA68d6w0fKGUCFg81VQThTjOZxPlXynisU2R273
UeO/6EX02abQthLa4f5VD3dfjclh0xkuEQEmNa0/eEK08y8ovgftopvHCsrKhxg+tThVEjJ8Hmrl
Sy2GwucuvSzKQ9bOIe0GFi86pyTB7E39QDuGcu1bqk+TsdUtNBxY4BzCCdig9XHLixMPF/w65h9A
/Wb9R2ZFlXb9qfLVD8oTCIzS8Lfssd8HZAQcGu2YLLDatqFyKjg8yox3z7CPG5qa1aFU95Gqepwq
SfuYwmMGEo2rnHmJ9ARqnMYmEbc8I9r8OqzhkftZ8HIduRBdac5jnNqcRfO4ooa1nThGBiz1awnV
wJZgwVv9gJKLlKXd5gvBex/EbhZ8GfvJmn7hsnPGnwmEFkJiEcxKL5oFnJooJ4fnGETwiuhk49+j
8cnTrTrb8YsKRlXlcMEq7RntG5UtX8UPk9/ZofH8IsrB28shnkaHJdDMWu93Jdkyf4LIn7P8grAd
MZKbji6PW/NN0TlJ8y8ecdDqufpV8M6M0p7S0aJtltETX1rxIipNT4KTL6kXEV4VDafR10hX/rsi
Mdt7/DnPXB/u3T3Y9Xf4AnHhji/RG9+MfAiAtYOtfxqVSyUopi5m7fkhvtB43pvlgR4deyLy1Pps
fC8oFu9B7GCCQvA8927mzg/CgsAWzGdKRg4Z5Qbi67qBTNVWxyjVMBgwJk6Cdzz54LBqSl7LD4ds
h5AH8eTo5mXtmWq5A1HECLvdkT2HdaDvCOTIGnk3CabHFYsY3vfWTaHfVUgdY9s2OxVZxXJ/lZN2
F+aMcjkg9tbaF26XXaXpHmazxxqdAnQdrredwEg/AaWr3pTxKVh26QLmYmOp3n2afOkneyuAjjB8
PeEFjl9mab+kSMZwaGxkqlqiP3Dn8BWCR4HPMRxF5/CWxPfkPSAflRqdSphiFlKF4mPSo8LmikSu
RqYluTY7gpbsnneRAIpS3gELMFNXsVhrcDy5be1PDRDBk/W0mOuPZAZeJrtzdR3xRidoiqQVFTI8
GcNrSb9RW+StIf+SWLbB7QcceHLr/gHZ0H9RlG8LO7QksuidY6zvI3QlYI2Iag4oF0b1Ys73Jd5E
QnBb2ne0FaF4SniisEEEF4FGykDTL8KT8msSClLRvULPsS9NENac2WCx273GLCPM8p0rTljXEezC
TznWZnOGgRWp+LNDUu1FEr9Nr5/eExGwqL2Ov6Wv3jrD3nyul+EAmQazO2XkhVTAmkJD92YK1ViR
buIQ3RSMt6MYu0/xGd4bHtx039fL80QomAFcWiPkLkaEXg67fk6OYZ1cpMa0BzRYRIXdcdNjpICY
zeyKEfoQ5AgYnJzWJQd/H64wyEXuz3Qn0tXYTRaGJaPbdeRWol9m3LUkXk1FqQG/pjiAzKJMqJRE
uf8NpLbxs+lOUCUAgDq4x3n+Mst0wjRNeLOi9y4LkJ4jITuKIcU2ZXejM19g2oFaIhB5mVb8SJcN
2n7q9J1MMuwZysWpWuDt1SoVDSRMwdETudqMcfIrV0gXrUr41H8s1toqkTu7HWKOTWhLjHj6qcz8
MDQ9MMkWomf06Ga9QH6NjRnsRqiyqafwWRMFtB8LT9mHrDj1R9YxmmEtpIqVq11N/5I2/1r+6PkB
GZkkgDYkI2O7ANbnuR8IuxKwKsCYOiw6rUplTsGBzBUznvjPoJHaQu7bI9UzzVOSiL2EBClVzp9I
triGwm+T1A8jcapIORRVf+r6N03Jr30/OXO5KI5MZxKGurzpQVZLZSudVVmE3Mt7FkaFACzTaGHY
JSRqh0xbgXnsq3x1cwQAHkSdjDIVVx9HUZb5uqSISnE/akAbvJVIN5BAYwwxgZ5E2SIspRa22K3N
qdjK6fdIRLKrcyUYkvW/UfmDn1K7tRHsTqVYqZcm7ZE2fWSgpeEmlmAwRxgx2CGX2viTRhWuJwxr
YF8wh8x4hEYcngNafyft8IyXWbSGkZuPpKKDCr4RfRslkmpQwUpWg7pcizekDomNdTegSjNEIDBe
z3cDACiqrujViloifFf96ZzOMyctuNNpPux7OXmV1qyxWUAQmuQV+EydsQGOFFApqvistfi4lV5T
mS4158V6rxTtG17AhNmVE5nXpMkRoB8eTQZztlXRAgUU7aiBgvhQ+4NjgNYVbXeGNtUH3Ea2EAsv
exmQK1/L/bauhpuCOdbpA+SgGUNXQVO8aK3XFPmL4IdtnqgJTQHquxQfrY58wia2oXIAuy4MAsj0
HuhVm6S4ANN/kZTyERODO5oqgqPZQBEzLQRFRmDU54AGa2nR7SvbFxOuHY4TdgyapVWXR/tab9nP
BR7n0XwZTU4LVsNrVvfa+2hGu0AR4UFQTcxo5qtS2KVYanpBQ0bHgMcvMmHBpJ2IJJhJj/Cqo2iy
i4mMaQkrbyDTsY0Sme0xEQ+mBrqWqKQKKdD0rKXoMeV8/smaDNp8l+4T05AJvDJmNzRyjBakwBgT
tgG5jfwBD5pPWBY1QU+PAB0RCISse6BzRtEmBZxkpDfD1ExXZADjE+CKxu2Y953sth3RvuM4HbX1
sxvEIUIq8aBQsxdjJ+hMtrl0yF+MngQOwn1Ci82+1AFSjEns9h3Yo//F3XksyY1sSfSLMAYZgdhW
alWaVUVuYEUV0Cqgv34O2Ivp12P2ns12Nm3dTSsymYkM4df9eCzd+yicf/cNt3dFI9YkmSqLsfRZ
/nDdad4smLhsGJgTWFBE3IFIWopvxvriVtmRRe63SNqTEwNtsKumAEPCyu4M3MAoPWXakB4MCI+p
5Zjcpg+EiFbDpDg5jM53vgEypaDz0+lW7/NxeAzz+WEaEJkyidDLxp3kkjaSJ8BObyCGHwjGxIdo
RqKJZl7S0E47T6UnepeKC2SD73OaHMaA/B4J1ftg0Egpc3YvzfTbl+wcnQ/rtjfPpB8vraTefnYS
wFdW8YHRDKRDinNavHXuzk9wSWQTR/2aCoW7mIH+XTYiNfEtxDeZF9vYRS2WknK3/jHKQT7H8aoD
yeTir1PMYp7fI996tJriI0rhdLVLnLABcrJWtyqyI85j1AcOpJnuRAuRa8yTaxmSZJnprOmyhnr0
FtRrQbG4iHF04xfbM/Pcg1Hm7BPEHxAWWLUd0jsk6b8scwUaILyzp+zF8mYYsQnCrkeC7M4LQlbV
fAEHwR7oivFhiQRy7Fi+LV1Qn/VcvpmqQhZEpun9ap/GbG6Qt3bjjHBEhO8+pIEHzTbxtn6F8g7Q
xm4Wrs0Qb7ZJ7L5YyvrWcXh1uXVHHAn6xDtnTUhkNfPfQNE9jES2467/DGRxTm0DBYXzULEi0YON
hwH6WttMar33NkABbmEkWk1AkHuiyrYov3oSmmJNrLTPECXX7twxNY8tvWVt1nTbtK6/xFnw85PY
9jenJeoVOV/LONFczRXbbJ29TwTjNiUt2Cu4HM8xarxGnrIzLtuiag72PATH6YkqXrV1GqDFuKD+
lIaOSffBFrLsLK/6Xgzqi3ZpSiTbE3cwuu2KGFZUBHxlbKbNfgAmFJLLyQlFCM5S8mEP5bXyEirE
4V25stqR8UCCC9pjPxagacPioV9It1cOYXChvpPhDY4Mb0mUVbtqhJ8bwflJ/IE7dPrCHPJpnPUP
mWmLalT0vcZF2B1XYlYn6anylh/FSlBjqL0t4rw/0Tv11jqZc3LoMboTfmlt02y6p4KBvN3wkLFh
bLOYnVQv7AFzGFxVUP+YRioRKoxPboOOVejhXhamP5R8fXwqHk6SOHGbtM2jU3aPCyFk1+UPDTzX
OuiK2w4QBsnze6cN2TVZETjknlS0Ibb3JcARISfql+MAKlMcwsXE7cL3a/YfKSUnv1aIb1FpPQ2e
d+ja+l3r5ReWCpcBCwMLfFUhbv6Z3pxN47WwShnzCAfnT94x9WjyF9wzSCQZhqZByU8icf6Wlg1k
vXnfBpVNYQPXDYbu19yWP8cAwGfN3wQeg2QcCDQu2wongAwixxqpi0xgEUSQ2MPpVWnGUl3tfh9j
ID5kOT6hAgiqJRGqzTzuwsVwZTJouZTnMUJndZuiRJDJmHFOD+VbLm3v6FJe5zeD3k9WdU/7Iftk
88Mus2HHNo+VOvTf/da/gFtgVOIQoOucrr8UBch6trRjQKvyHdUUI64HClTXu2tpJ2qbwvDfRDFb
ohV96cMLUNzfkc6fl2a6yjbEdCKh6k1dDeHaXByJdTtbqFZw2m7ZrFw3chnbnMGLF+hvefmzIDOf
T8VJN19ieqhOVkPvnEsRyKG33mSGZmm7JXS1jm27DVYwjSvClcAUkA48pD3Sn54AioN2BAFKKm4k
fAZPnjLImWql/Lvfi2I7wkrRCZxnGzqKa3ufIfde13KS3bTw3fWy1Selw5ERCkirsYShH38ohxBx
Nemftefw4WvPZoDoAwNH7LMsLjXXIKS1dsk4LXmdeozC/lEq7TAL+fDn3AEvMXCz9KP3sBb3TUc1
oJ3SL6C+hCVya9t134Mn1ffcZBLztsRkCYf5IZQzGqlb7QiSMDMHEJ4uRy8g5zFM3dfML3kVkTx6
oOG4vTnDUQJXmWv0Jq/9Mkzm2lbl1yyhuUTEV6xJPxur240RYn95oR2MMKiPUqKD4a3rq2SP+wAC
bPPhhZwml8ztNrn4qIMBPw9D0wb5Fv9ZjQwXyV0wsHVbqd7Pq9lfU5GNE6oRAHk3yvDVS1toIp3v
3aqSAIJHVJiTcMr33XIpOPw6Lh9OOtQkrTB71dlbXF4qt3jSs82Ab2Xi0i1DfSY9nE2wbvGVne+t
LNsU+Ck3HejBzcDJNSvJ8Lp6NTovy+vSTtdsIonv1CtIK/G/TYLe7gQenR3Xl7IipDF4jo3fbD7Y
vfdCAvFA/AJwQYHW3yfNyzyZLzQWnekMwy7hMywqXLP34TlQ7hyWlb0j5vgeTiAnsVbxQBQgfOkA
j7QtTnXYbwOb4UrbhJemyck0h3/s8VxgAetuxpHLhEqOLnmfg+eUQPjSFKijYq+itgyiECQmbz4P
Vt9ewzEHuSktupR8cSwcDDLAHGj9bKcfXSPpgoJHydxJMaWh7IDKTMieeJvkzpLLL1oryjOJ1JNT
ukRd2/xzGWq19cZml5G/t8UQ7G2HVsSoaFu8ebzXDUC7gx8H7WWeLLNf2ujaDzEFCiLnWgGTGxki
7i8UuWqiPWJKL/bUnDJbSnCo5bMPki+wDIG0uSExM5ZHMebrPfxmnAWFVQ+fGA/rDR7W6Rj3tGp6
o9VtDFDDPdfafTlm8qpjBDocBo9+n5a3kXByqIr7LLHNWZUJhiwKm+ugCg4dLlyrAXze9IzaQvED
H7c+52M7wnIKL47DLSQOVHqkrpcjwbK8qGJU+0lz4I5Z0je1R/tuMZnj4DUklie/O1c9QpvrZ/lz
rLhrpXFin7Gk9fkXXfdb7U/g5JJgyY8iHHZDlcaQRmo2zNp/Jm83HrEdE9sfoPXI0rp5elb7cEVm
QI3nJYBo3oc29BsPX2dFMzarJ0VpzeSST5QPkceEn0H4QWbj/FCvz3fDstRWoMdZrxtwNhwV7Sjl
suV6hz9/REmx7v4PsIrLo7eHs09Yd0F+BfeRZk62N3RUUJnifBtrN7sH0vO7i6ZnDJprkSPbUhoU
w96pocEmME2BhTHHcpo84VvJYuUK0nY+P8lEBzeZ3ULVNPNpLqZzNttrS057Yq1sSDLSO9jPAYhC
vIe1BCiW55IiriH8BCIHEnNKqees8QKO2gA0SCjDdCRcimUcrtIFKClK7idWgSI4Njec2TSy2V11
8obsMyyQbzOn0Ds6qmjkBLVkj/OpqqJ7HSyMIqkb37tVigsjxwoFd/0qi/hEqUxOEzL3sWG14M6d
h5G1+WZNGB9mmtrwJ5JhLtzIORaEXGBG27vM0DaZGDXtAzKNO2sOMfDmUb0tJ8ZoIvHla4B8UEh1
DqTffcJOOTQj9aG9JT6FhxxRuv6nhx2haPGMGbh8DyEhqEut2463qDwMTuZfhtzgWPOIi1XIS3kx
M0VWHEolEu/A73DMTQEnewn5f4n3Ok/28JJQOoNPn1NrjuWF7/FvOTM9N/K3iyP96HdUvoFP8tLu
u7DUO8UFzK3ccC0F8F6HxoN7UOxJ/B1q35aXYNJn1kgfW3Vy5k3EX9BU4FrC8bUtRUfDLGdETAK2
Brglu/GjbeZy58qE9KEvuw2hoTDjrILXCABTS7FAlAGpAarELGr5LWgK2sXdlKE3cnCq+up3HHFF
nFn09tqc/MR6940P0Rsn4U5PtBB2vN5G+gVoOPz/g+qPXTvqU1KfYWLy9xLVWQnOxG2GIJYA7Lwr
fXpHGeblo26OCUf3WMhhU/CCI+p5H1Iff5KU7Q8T82uD8tA50mlFxsGfy9J+vcjY5RbG/17SnZ3Z
SCDauGdloTTr0VIHK5IXLsggeryL9ClQV0UxHTvFhCSdHO5HTsxsx8AFkAtTXjfpGKFjFe4y7BtM
rYWqhodQT4xQGKy2Po+WgstXlhGPY5C/mwiSFA3vNkyVnPLybW4xIaDc/HGxcJ4lbfAu0Co4aolj
OGdbuuYihsLRS9SZ6JiIz8Be37QKxkCloyvxsV8ioXnA7MamyHj5M5eVyDyoMZof8kNRmH0E5MKX
6KZzDsRWIB5iXHGpQOOchtgfYn6JiDXmTbNveu+ZkjVOiqDdjo1VnzS1Y3vfkjx9WM8yko5r98Gp
Q9qTjAeXsG9IetHg09j5sqM9zyVeHboY/hQ+Y0MKULd4UEZaPeyxbHZds6wwKwpZxbScS/2rN7p4
YzM7OKRU72QpVu+hXR4D7qluXgXHHA4Y/59baSp4ZsHjDc70WtIM8qTC4YnfGpcwPTsM8Mw7+75+
7VHJI8klo9+WiuYO8gI0s+QMK2GlYesHTcIswy4vth1RpWJYJIA4AwsZypep2hNDKB9lTVMt9Vt3
luw/VJtnDNc1xQo+UzzaeKD6+uZ9jNHLM0yOXONqf7tAEd+lI3pB1Po4/GsscAQHOBsSSGOYQFmE
Rk7HQkJDF0ViAkcXmKm45zG1hzq6oz3vC8vBXC8dVw3b2zUuh0nqT3ASOIegMAK7CLtERJSToiAe
jIRM4gBhiOod/66U9nPdrNCRZCI9aA7YxjG35pPZJ7yUnLjQcUVpd/RXs3gWzy3EReRHzKvBPL3L
wpkPjA7sL/R1iZsf84YltG0dBLXyV6AloAsL4h4WZuC8WMwpD5kqxIrQC/7v6K/+gP8TfP+W/Gih
wP7u/jW69SeO9T+5rv+HiH5gOf8uFnb/6+cvTm/lz3+Jha0/8+tzBfHL/yIJpjwFrUE6bqhsfuWv
WBiEfhJfYPtd23VkqIK/4Ry8/wrWX+EH/YD7ofM/jH5ID4AHITw4uMZDj4KJ/0sw7H/RHGzl+yKk
pt4VNr+dvRL8/0ZzcLi+TnOGsaYfPMZfdsl4NbefrZ4BRKMYrjm9OpYzd3+8tjB22ebXpBfbu53S
ZlH8GqARgjMyNM9jZ74D0edtBOstkUx10Dmn1krXEWlnvnNNu08pnHjIsc5w+WhPY9uog6EcmVN1
/uhgIXWc6JYNfXWBhELMIsC9STKN2atjHSgR+iUskzyStJtuVGthJSHXn0XJfE6nsLu2HCVR1myo
5+xLsKEzGJtu+ypIK1s0r3HeyuV5AiuMiz+IjxVfVEIjA0EdhTa/DLu/PQmPf0Ex/qUB4Z+hO97d
gM9o7T4Qnue6/2Bl2D6RVy9kIEW25jEvHNBQFVCvqWqcZ6ZZk6/YZuB2QiGEidGlH27QEzQ3+AHs
nHJek3qfyslvbjW+TbKc/sPrEzxh/8Ly+PP6cIdTzbFWNdgEE//+6c8cOooWxY8p+Tt5LcZ2gX4g
GuRfeg4onQbpQeyI/DDue7wDqDEMwfzDIvRLH9ZXFY5mS8YmOsvUVJfgw0raJ6peXKb0+YSQbF8p
wPyYEVZJvayfd9IzaKph5tWGaFkmHv48AcVAHT3i4r7vJnZqlyRwbJ+QpXuE76Y4L/2j1sle1/ly
pCcA679s2Jpa59h5HHsMAvO9m1KsUnGc1ox7XgIRO5uY62YdzNB//YV7ep389ofOuq8CGszJLNwi
Kd2HYrQ5LXM/0Lh7ncilwnqRfGAyY78cO3C46wNSFsuw+fcPh1wTl38HqfDmC+WGoFwCH3anv344
f/vqlVraAOeaCDMTSmcQvdRZmCNrO48VR/wL6Ug8s0aoo2Pj/4hia6+b+bVI5ZsHEoxZYMHtPS1I
UQsU8MAHguIUkzzRzfkOl1ZsTZU4e4qn4wom7xiqVABUJ51RSuCJnhkpqLJa/IqoULbleFuxdD+1
dJZD1S8Op4bRIcyTSEioZCgYpcRrlaYdhCeR4LRXkEnuO1/NpyhCLp97HKFMeAwhyyLjhI/Hy7RN
dWtRTw9wCX7FU5LeKgbVt2zRX/2+EQer6n6QojOHP91IZbTomwAGwmF4Sg7MpkZ+moER4dUTpWXu
sQVLvTcFzTncb75gYVYYUCaX7lpi672jGSWji/2HD4oP5H99UiIUygHdEbqs4gFL+N8/qdHzgUt2
TITRxFCkYg6chmRm0KWPfewR/VPeoz8M70qTVJ8deecBj7yTaXgLIfXs5iJecO+0OL3Ged773XdX
NRDARH0fTUxCahd2PLEfOhTTOiZo7nUXPmbmfIYR0cJl5FSzOm1axVx+8FyHuRL6tVG29ZHbzWVM
J++i8H/fSYA0J1CS2LQz1cOGt15DJr8rJP4sRkKNTdPSGa/y9phgh0p7IrvUvmf7yR7dXZZN6/QX
Edw9EjD2wPnvzBpAWQIqQIusPbozKzNJBuEo/C5Vdl/J7CNT8LO4eLbHJehWPPRvCufBBGsHBTqB
TBEVItlXpfNjtplv+RITVkA2oY3wWNvhGiWJ7hGAoBLU/g8v6G3yl+NA3sBoJHT9FFVueE3t+VIQ
lx1zXA69Cg2XxaCluJPkvBp60ozBKi2Ms6IHbQXnCJrWjaHro7aMtYGFpXYDsbwNgbnpccluPORc
M1t9DK3Bf14677mqvO86Xlll/IoW1rv0hdzzJ8R384x7LjOkw3wbLUClJbZym0lnPGVfE+PFl6AW
e2VovsgsTL0tUdZNovkzafE1uJzdr5kbRZsmmX41LQBSaeV8caOdCFI8j+vLVI0VXrPi6+JG42Hu
wl92nQ2YzeShr6Pm7DaEyuQAdW1wPpx1DtS6DVHieDt6AcfMYLRvc9zKM4PezWL1u3waX4SxHmIv
OfZDWL5ooff5QWE7+EpRZH3ySnBpOcNOr8gvY93TGVap+lCA/LW7utx0qlOb2O/0pbGt16oDh1yN
It/nA82LOhns+5n1a6OxzY3SOTdOMO98JHqoKjFYQsw8eIYiiED5dehiCgya6ph1Hr06HV1Zcfah
bOb7aL2kY+8AIwNRH04cetyXPmAUZhT37CAsP9PZY0YIzcQAUO1mqyW74PaXMjpSzSUf6uHV6SlT
NnH0sYjhB70SJBxW98YgOHUzX62HU05GjPsOaQ1J7YAXovKOZIPCJbtEqoqPc9Q9Ut6LzcB3dr01
26e6bspL8hvtoz4NSr35krtXTjBxKvMfva/esxkXtGKuHXjncsYjJisI4iFQvvY+98Dz/vvt4s92
8PftwrFZmITnh74fEuMX/zhL1EIzHgpwGMQIRJcARxV36uVcSyS73ijkoE699kvDUBQCDDOCka+I
VDeLct1TXwv21UbfqEp2zr5vP+UlmiUtSIWKh+vcJTTTLwfOR8Ml67nk0Rzv7qchowzR099I1U5E
bvBXc4Z0bl5ayFX1RRLXfkCHMCaWukEsaAv3WRY71cl8X/n2uCN92OGX5ZSHz+QIMUYCBCUJ1P3q
A9qj//1b5Pyzboq3CJGHxm4hpPDtP+v433dUeEJS0vPISIQVV/F5ezUmMcdhrYspkyH7x67Upy5S
TnE3xv5wpDp7oTajTPcmuaZT/71zg08GNDBmsTolPvxoWbi3//BCnX9sKOsLhaEWBuzhwhH/PHdN
nlVxymCOaD9FrUQSJlb26rjsMDT/afxo9HT7CrY4HdrbEWliVw3/4Xlabxf/cvxwqAujCIzP2mEx
d931Nf7tzbIdWkKtHg0/bpsTUtFwqSP/UJHBvBROEN/LiqRKRpKpLQ+Xv04PDQsMrFidPWBfmfl2
Y48XUQB8mIgjNVIlduvWRyRcP3DsR0ihHtOFiJu2LsaInFOlYNZC7Krj2DqX6z/+/BtPvDkE5Jbt
FQcxr/8YutE+19PClWJgim8jEyPVTA9YLqyzC/W/8aV58DhR3rlh0+3AwWe+4vxQS2ItJW30JtlZ
0DoYjyfYQfTwIJppG6zdlktXQ+i1wsN/+FiRi//5pjqc9jnui8C1FQHAf5wU2lGGZWJhs+sW8b3o
cI0sLfGvcULFq8pnr0TxH7iNdJ617/oB7JUo2m3jZO/41EiaxPSENcVNjudlraxoinWcAPfJAYN6
CKf4aUKzmtLhTfo00sg6/oS8HMOVfaV3WTqJ+sIAAekGR8HdlOPf6+Tzgslhk80jeuhImDyg9ZIR
DhBPeWqz8QH2ER64PvhcLQmHfGCc3SVk+yTicyO5GFVDep5H8q4emfg9W/MmMoFDPFedK8LeO3FI
J0BeOmOIanDwqVFYG8pOj53tm60o2FdALe/xpGFsFQ9TkZyHwvvwanxgbr5zrWrf+OlnnZX+hfkq
XKPErJIU4EmrpcuD5KmfNXD/WoBY3KbuhDtxlVPMwvgEyEeyfdBK63CkdV98tPlZB2eN1Mr4kW0y
9NEqh9obaIw4tNK2LqEyv43oURF7JBthzLVQeLVoUKdKwSEFFuWwTrqA2DjOKQpZ6HM49Hb8MY2K
K0RJActEnVLYw0u3wQfzRcu3IuNuB33cuN6wWxT2cwaOPXF5XGYBLm3gzPcVTspYIHhnAejZPvuA
wPSTguYfQFsaSqqoNK+6kbzom0jB/tQ+MQIdPbo+nkV3Bm+Rq+HQOwvE2eorL1JuAt+1HtQPasmI
V2GClRy3EMcCXgEfXwTKYyca9n8ps7O4FQbKuDIED4BI3g2GLlER5Ns48Z5yBYXByQlyAN4/uZkR
j8mbNXvfer0OWP3pFnvTt5GeFPbS7p5d5JmP4Tu7Ur6BWLmD45g+yhYMfZ6XFNKtSWxaq+8w9oAX
iDByqaKqn/ww/17ZGNXrifcR69K4dSL1GckS71twgH2NpK6grC5rPQKN4jc1d7fcYpzogqBgV7Mv
SeEsEET0w9IHJ2nwYXchzdjTIl7ssH6tAJS99+3ynhHxXoKAAcUc6lcAbyemrhQAFsM6H6M/lb4z
1OICi3yvgIi0BjQ31Cy1VIyinos0F/sMItGGRh3ou9cmnqJbkd+TVxlV8Aujgea4kqidD26sQ3+4
W2rMh8BgF0S6Uz4xkZ2BAG51jWvc5WuVp+9dN3k7ED00TvD12CytJbc8vBdP4UELZnPTxBnY4VG3
e7CCKJg4JUcs9q54rBc7fPYj7G6udHdjaYXPOnTvF65yiN8/vSbKL6VB2NWu1qRE2paBmTtz941n
MmGlzg+eDrEcDw0Ftcl4xdeK74Hqac9x8E8LADH4wVCAUH330LmHTb2OrsfKIVKTvpa1N6Kex/T8
IJ5kfAs3woeDURMpSYlJZakV7QCy7MaCaKqFWqBWDPKiuvpJ5HKXZwEWU9PEe+UOr4DKqWCUH3gl
X6fKVheDDYDnnHtp456XxiJZZ+li64fJeRnJJKSchPMaADeeO08RPq/JrffUA921y/dhCRFuOb8S
6sifVh//PB2g0WsyRcUKJZDQzHKK4EsfCzImjVSbzyanO63mrl3o8cMhx34N2zo7x321nRoHF7wH
GGjkguezBW2CvGvw3aCvZwYPaF9hQimaerq4BWNh5rwI2zKYmJKTXtJAy2aX+G4+WWIzckGM3f7N
s90drbv7hYaPW98Ft2jWHWdvLLwofcCWCwoGItqOaS3w5Do9wfxOUYZ/zxCjjxs6aGjpw9FlYcLD
zg3UQ/R85c0AEsLQ4NdaCaev8AE+ZnTHoZu3OpxxfwxarZ8qnD/xxJJEGGVaPn0VXNgo+LEq5hrR
YmbgM8fh5FDzEBQUMtg65kujl/OgyGonXKso0zRbu8I0b7XcHARzr8yoS2jXt0D1hM2pXRiNegEG
BftdqzdnXuPZur2+ciub79mppCHMxR505/ZuAJ06QAGZ9NPCdH0TTFxoZKCParJuYqmDfeba1wBV
SPP+0R/QImukIXeQ0KJzO3glnf9D5xPLfDDTLq0tQtIQJtPVuBBipwJ/t6YTmZgXtR2fcfr8FqNc
wAwRcIAOUxzG86ga/Rw6/nz08Jnd9XTCcKV2D0uBnanoCufQG1KHcOhO4VAcPJw52tgfbPbbwBA3
tpzpxWnEy+A4cmsvoLpti3booJ9QQBj4RyHISS/uuMXXL5k7+Nwb2FdToSmMFNWbjQ8pqjmfO+/B
ElE63nDTbofPbiAoDJ8V4QejLFlRmkgQve5tne2i1Cr2LhfEBG7/vrdqvaOYAYt2bf+wSlfti168
Oh4JNS7P4b3V7+n5qkDOY8XCyT7fjSWjsiVpvjoFi68aXfiu6su4Eys2m/XwFMfzVdZ8bypsOHfM
+Ihgt0TCyZunW3OQqSSatSbf/UWSFsghiVsPwpKGq8BizgMwqGNDfo4ykPnSkV0Q0qqfgPX8dBL+
GMa2VHQP04qDxaZIJ0Bv4gVHcP2tsGHLCs88jlaeHvrQ/doipegsJwLgU1Qyo89lembguKzmbDJO
QyiaY1fFDJrs6EP9mIbwFwsA7O9h/iXD3+7igiVTCL2dwq8SYgZbSP8TaS+RtRZ1caPih8zZhPNk
P+Hx3Y7z2B6moW1xnhTOpmvF92gg9MkDgEVXhMTFF688pi3VFjrKPouk/zHgPb+FAkTP0j4qQUbJ
bkq28aKkYIWLr+TIsGmDA+LAryoa7B108eJoxd2wpd+VZy7RPASzv2PFvagC7kDthON5iMCZA3Z5
iKvgItcZJ8clLtmO9RS287WZsFRacBC5iy3km9K30H6b+ty72Yw8N1675vcY2qdL45Cmwpwh1jFs
PF3nJNu3ZdeRspxIH1eGavLFHl8IgZIGnhNoqlWCKs8CDexjE8PppVscf1CJik7FXn0tfELwsN7z
zRB6NaKpPX6xTAkmYZ4N9oM5upMABaDNrbex08LhfN8L1NYQ6WATu9PNMQUUm2F5ioGM91aqHkqz
CXvzuCzFd+a7R3cxhuElRUuDU1zQHB97j9nulNYgQbszZB1GtiInO9rYb/G852SqtO1Cg5ByMzJq
poEJY7ILj6oMxD5x2olaOGYLoew4sOaLABowb6sid1Dm9JuHPLSOPgGLzNVv0FPt2fcOrOuYCOXy
vlTWXS0I2Xo1vQ0y5o5dMWctJugl8YLOlYfMe73lQjnTXeVQYlRhDtykrX6Mx7E+U0B2THPCm25D
Cs4K1VvQxkdArtGV5Sa7TI3hW8l/YWMCC2SBAsumnPPVVA0X40/JFpSeu9nbURvucD/xnuL70ME0
PrOVfHdE6zCMXugay+vkCENjRsJrv02jTInaDAvJFjPT351kHN7ra2qYYyaWts9BQWK2wXvuMnp6
VZ6xjj0VGMjANDNotYEfo1GipH9LqK7FF3UIA/URY129kYGfgkKdwO7uO2v6Nrjx8Cq0fsqmJy29
F8dYJwSnZJ9a9E1RjhQ8+hJgBceNrA8wjVrFdHA7QlYMq76KbMZrCs00SeC0Oo7/Sorjp00AhcUv
//Swox/1OlJBCklStpSK9CHFmdNzX07g1mA0PZWzAh7DiWwciQYybOBiMzUYDvEsnsYdP+C+OFy8
khhtZKIhp6aBl2Jd76QyQGSx1LuhxBFMZqLh4RtSsqE0XVHaZB6qCZWTffSXn963oSVuGrPV2pJp
bpRZ7LFXv9sqdc+JTbcqvprHUOK4xER5/vMSgjl466hdPvnIVMxkQgBkO98Z44es5JGZvATQ7uxj
c0AHx5kNMal/w9zDJKRKLiMUgclxfltAANWfQtvS4wzQpSRAM4NFroCLXkh4YZkBP5JEvsBKk91h
lzA39mW9SwOPerxuEg+AuyEU03ELuPvZr4V7X44RTqqhOLrxMhz/+g3VQiRgMrJnJIRGUErY332j
jshsINThux4ar3nqQrfF7NO+ZguIskI38qJL1k0iDyDi1rnB3N/qPM/v05pocRwPJ03l3qGh3uA0
p9U7oCbQTnb/I7FjQBq/GjN/KyPTH5XKaFWO9DkqlX3tLBZezd4+O/rB8KBdZ5u2sKoK6WctLHH5
84/MxYg029j8Z8aIt6CzvuQ1lcVxmb828Qy6YzWIFdyusaTYBPXDcr6P81WKNGipE/2Pm0A7FIr1
9Xs0F+XFmZht8te2qEydvwfVWJ5NkDqPdoyLYwbqFtUNF0UlCAZ069Q/isBZlD6lofbgH8Z4Jp6b
stbAoYsP6JVMxzw7O5o8i7c0BJ04xjWvbkdC03EefMWVewWGO23pfaFFbF9ZM9KzX3U7+G0uCZfC
uVBzhU3WAu1QMDGD6Vdm8WuGJ2VH7w48ygC9H0hI0CtqbQm85ItlDqyUUGNoYnOpdezdbnoYJSfQ
HgnRZZc3grPlkoyQWKprl4n+tdXDdhEmuVgUzlwMmpUG3rN1kjg5RqnfXlpNhbjX1R6YA4uu18J3
3qqI2+fiVRjVaAO5yxJDaVPevilvzB9z05i3iTLewSve178EDsnpcSAWCyxKvi7Dkpzmenpu1vlA
HtTQqQOgNZPEdcvO617buLs2A+IJnaOY4JE8IW7E/c5oFi1tF79s722M5XTVsPT9eYsoqnZ/NHYq
CxgPVCPRX+HUtHDwn0tX0MHZ3RNRqjZZEiPjd5jxPQuL5zKD5V7yfqXHwFSEaHyQA3XWixMd6Zcd
EReCGr1Y7mRIVSglzvbOuNt27J/5ntENX8Wkc3EpKlgiXP7H0rkZFMFthj+JFPCt9cLpXC08MLUt
MAuPZy57JfHma534LKsK6E7dldPrbOJfrbAVnEcjgUeFfIG8jG6SUo2nXjY3GVjqsfTxkaowgH/D
CaUD4X+Dg26zI4b9vpNNf4thrd/yfuCY28GDLEaQAT5pmjTKGc6hms5dWjx4vp8/RCxeiFURKTrP
P1NyQ67SH8a9qeAXgCyIvWGj++Rep8vvkSTMRnQ99YpR/Dt2YxifkXvv5IBBHE2lgpYdXMYSD7fd
DtN2KPz6Onqj3vLNOC1J7X3xuu7qzavxaeH3r3Jlf+C3Y72C8+cPSfWsJIFECQfxmRFYsbdiefTX
jsu6LfTLnLL45YQybN+fP7vS4Q6o/5u781hynVmv7Kv0Awg34M2UBiRBW8XyE0RZeJcAEubpe+GX
1CEpogc97cFV3Bs651SRBDM/s/faPNW2WlyMmFlQ1sXlC0NoeIKp+yZYVaGCbjBLQO3e5Wmjkpxk
ir06p34No/w1h0wGLxyPkDLVxZ7Q2+wGRZ8WCWrQEFXTR1u75wTy45Mh6UWs3tw2TepCPtLbU6vr
5BdlgSl05UltMOKh2HxXJ9PYJiILiJZBcliTHWREwwOaiRc2WCTQ8vZymDtfSgKG166SXVgz1ysc
io9akAjoye59CZxHPcs3vFYL/hWn4S70htaXHPKEXVTssqfy2THT7qCq/AgCj5ZEOiAF7KNOYSWr
46w+1+TORNYw0cxpr0WkPma8AC/WDIaCUY/O1jkkaaUAmvc8ZNA5eCsNgk1V1odiFKgRCkTxGZtD
wf4hYTKGx5WtOvex8MZdOcYQN+ImULs++OeJ74h8Y3FD+Fqpo5GnDXo1w1KesmYBMeDRBMPkEmcJ
K9MXuGh8gTKsSNBYhiRUwh8cyCtmBNBZErsXehB/UFEud1WNQbxq5KXLm+uAgPLYmM23q63aOPMO
+swtqDpCLFJhbzuiX17xmcQ7ZebXGmcfBYaNccQBe8brsNVSPcyBOotHlHXFmqNN3vBWfvUTLqCa
pecQw5HhXzjFGuAuZGUMP5sBUfGCCGBRRcc4q6F7ioeN6qiQ5XuMCmNffUuHLgqIZHwE/U1wUrKr
lrmNm1owgpRTnc1U+pamrjlpYGj13YNeDRzfE2+bYpUEPRZdRAjoybblzL7cc09uDgqO/NP+EnXY
8f9ZN46ocSmP9B3Tr+pojGBP4xJ1d4hoGKwo+566rfdmy1SWEfUiSlzesXA46gZyAqKy+KMhQEJm
PqbvKtFeY1DE4BHe7mT/lVVsHqwSt1qoxwLzKp9OXb7VvapdWy9+kJUZ+5PdHhQIcYcInR3UHGYl
zYgZprDOilY7Zw1fGJO4kKsdQQfZpSrpgH0cnUmab1csIpu13ZDssTx9M8Qz2xDXzokaxL3PpY4w
s0R5bE98g7qq3ZYMnY4DzM1i2gwWndK07E+H4UNZHnShlBdglMKfDWBvjePdIkOHQ2CwcE0sD+N3
tqgZNZKqi+jMjUx/O+ssOUqdMAJ1PqfzKNmT53KvNtJEL4zaRJgPUPNPbPvF3jWQIPejBg7Tnead
qbK0xDcX4+JNVX6BxJgxJlca1riM/DcBF07qhBq6fXLuBtg6MDd/GDE4h7CDXSHog+cE0XuW2wCG
uCRKk+GCoZwZPGG0qyxErLHy0Sw77dEsCfdFCqw1guJpDDO/J9Vq02WgSOYWRXe17EQ71Qv6QXg8
XjGze48OKcap2iOOzQtSTDOTdDUa+H6lhBweYd6hB6q9b7PrwXLU586tcYxI5Ru8JiqC7nmqIvvR
VsNnJEpwYAH1AjZCoDilJs2RQDijwz+LabLWU54ydLHS8qHD8rxKXdQ6ggNXCW1fxqOOFiV+bhOI
5K1EGtFP2puZzTvPbcCxZIZ7rKtRX8VkkVBu2NECEGAUs7XGd6OdqrPk57SZxcwPXE6lureipsYa
BmFwBpqDb+BYOf/zfyKVYHNmi8SqyJQHJ7WPKATeWhZxZyIR7OSYhtlVIybAFzq6oWEK37Qh69e2
62I5T63vmfHFqhowavY6RQQru9WEGGHvKQqGaLlo+Edo1aWr02TqH2Y/BFPfzmclNu5JaOv7KeEc
hqPQOsOuXFhHa8swiOxQKps5MP0/lkNs4kT/VXo1+SrUGG7Ie8Y5wTPTuwcNXOsFhOyn2aYALHvN
ZVahHYtwHMhGAByl0o5aNWCAborhjkln3FmdfnEim5+AcRtmX5duy1mFN9KS9xmK+S3MdFI9nXNd
FuKodnZ3c0Lxa4o2fhcqAgvDEN4eZdC3FRkTfS4wTLU6pOgltvEMFz5DJpGDefdE854p+Qs9qbsK
M0ClPRBUDe4VJN9jktnQywbSS0YboUiTegvuLnY3TLrbNwN/JE4l5bWw5qcphxpJJvN00shW2ZX8
NFR02tN9qKN6E46gQQRZqOmoAOKbl4IYX4pgegrLiX6yz/dFJd21kDai2/AvFGnxPOvzT14lCGw1
xhSuy441cv25xZ3mIvfXMslzuS0xE3JRovUlvVMGZdnIQJIezGdKBLTm/Uyei9CDSojYkTE9R6Ze
7wetgWPRUSGaNs+ONbxqVQEyyhwPOdksBIIUkLSU8D4hRTwbGkP1ahTW3bSUwY9RJW6ahuMqs++Y
hd+6yIj8CEfaKuF93xx5y8oN/Ujv61S6oXvIpjgjtYo7UOCdEYY6BmPcPouSMJC4cufjbNyFTb1g
u6LfNVMdHQfAWpxwfNd0lrbLugz6LAQccqKwQHbuRK85vvaWfs3l9BLBq9ZcSt+4e+n15NLNFuNB
B4j1kD1i2sP4BzWAMG7gvy75MCjgkZdPuME+y5pSodG4R+wBWSaepJpJ1kYOHozFBM++OZImx8zt
o0uImw5bmjbTYBzjjGDl3Oabwd9aK61rWFPNYGsigfWr5OEAHtu9pBR3yOG5fQ1E6hRfK7IW7uQQ
3UUHX5eRlTGmRG/0xnhu+vK1yJ3rOJvjDnnpuO5jr97rPewfnXyUBQ7xPJmJuOtGf+nRHOLGyoz2
3FcQDEHQCASiGGhCJcP9yumItArhFAbHv7yBHUkAuOKLsD/0Y3yih8MJI7qF4xBx+ERZoHUz5L2B
J6djwNgSwC4Txj2xqoG1az8qGInn2j6qmfPZJdZbGcOwy9xdPKK86Bo5wexWL5noWVzoznxop29y
OZk/FNWzKWmomlI+eEMUIfuWF9IucFGCck9KAxkRHIa5njadvrQn8kXwnvQWJR+GzI0YnXshwje7
1V1+LY+9+pB8K110dxgOgT1zIawRmgXO+lapJsvZ3iDTnujxVc7YaAS9trZU7mUmyDHuJkLsqXtd
Eq44F6uQpFDmt2vhGjel4S6gmnSoMPhuzS4Qv6hy1+xoqUFoeiedSQwvkACYda+4T/CDG6fHahUd
Y1Rv/8Z/qQa6GPD7uMERCd7MNi5Xkc0KswIGZo0HyVfXay9tkZzbx51rDGidpltZjgHwaxT8ARAt
JUrxmWjXWU6feqa9YuV6IVpig1Xw1BX6QZ3/zLjdZUr6ZMzZE4kOw/rfVJMJaVNg/XAjh0UeM+O6
tqHkVcGQp08pi0I9ty59iJfhHwnB/5PS/v9HDb2HuuT/Hq2ClLrNPv+bgH75C/8uoNfNf2mI4FFQ
W7aKutRC9fMfuSr8f5hGup5NIKGpoVj5P7kqlvkvFxKa5bmG69qORujh//rPZBXvX4vkXnM8HOs4
7/lb/5kpw++x5BwSR/Pv4Y3/8b//q8Qb9ScpMf9NSIMii6QWx1It07URIPwPCb1D4Hxkuxx9Sdhd
lbE7ZqKm/1aPQrvLGu+sCc9IJ3CkHByf5jDISYDTsnjrGIyCuMp68dOl/cYwskMGblzBfDuxoUQC
sbd7k2Dz95Qp4/iQJ4dlppm22tpACqcKlYXhvswMjIMfjvYJNi208RPiW51k5yMhAzvG7Lknn6r7
rOOeA4yJ16R/Fm+cUMhLl3wzij3zu7HBDgMSkVDPuATiGcVO1p4yeWj5CQZNMFG1ssdVXHyMnbHu
jcl3axwur9BbHj+KiHUuGQTjWfdwyjGYPwIGgsifrxPNWddQfNtLQW+LEkJvd0pL/jU8BptNkifO
rIWsau940YZluGOBCFA+yvzs6RO/RL2hZsHRidzIeav5R/X+Ku1Hj3sHH1r9yYx9RZheiF8tTDaV
1QaQRHSYLyECGVdd4uDPQtk15FchmWtwZ6nvmXNMOYI08VjP3npgY88oCudpILU/uJpdCR6gHn+l
8Kggjcc+swIzPscsg9C/rsqWjE9rhcA6swZ2PZiAgfmkZr9DCrnCQWbROtHKoaK0O7gTjFsbBNTG
aymw7uvvOhZMxLUhzu0h3BguJ2571B2YkcCTzNek+PboGVuJxTHHsZatZihwhTJcG8boc0PViIgO
CpAKKbwbvcMMd6EFNELYzSrC6VWS3JLb5PSwbA4F5gH9gWqED2HcQD8RrARTUz0kC/aQOzyPG+ij
6UbuJ+M+oDmzc/fAvHUt2vxsTva67OfAKJBMhOy27pMTIpmYN9KSQNSUlZ1RuDI5DEPSKQH0M6xp
mccxgAYnw5XYpExYEgr/J8+j7XrG73KTcf8wG1fPqJHoszRHqq/21xHLdSpvM/wW8jjX2CW3c3Ot
YYRaZnYqIF03QBAocQ61qH5k7DuOP7knx3xJwwfutiTyhTgo3c5wP9iPFcgGJNs3UUKJ4CvCdo3r
0HvUMLCMaulPurtrCTuu82cXdXSDJCodySBZ5HdjuAbFs6485aiWUHWx3ScsyOJUQLD12DRFRObu
RR3fYO6tNTYTvQ0qkA2KOmXrLPp0jJ3dsyQllf3cMVlyX9KGgN66YKQ/xntLEKL0gu9925zKGobc
uxuFl3gcKU4Qd5R8X6t+RerXkcgTqMOfYv4z9Ocm51+cbnist2HL1LoBTi+toyuKncXCVFPgyccs
WIzFPN4Qh0dc9j6hiWprtqPD8DR0P0aLxhUrq0xeXdp8c2SiGcOJdcSrYjJHXQJG1CCuNWRn16RE
I1Ce1Oapb3duSvcCMHRmrCzb4SPNgq7+jucvB8SbTtabFfLoeV+58YC84VHS0dCC0W/Gq5r3266e
Q/RAIp/WbCyPA3ZOrOtBFt0JrWMwIvxay7cMt/d5yeaDnWC7Vq4THNs0c/kIREABv0uKvyU021F5
lkSggmYqQR4atXXI6q/WMdYx1Zm71Mym3KK+DCL5zFQNwWC3UfWHFESlZ1wLO/aJRN/O/bw1rTww
OS4i0ezkjCmkdViuARLLBAMwCCLKUejwx7JkQM2U0GWhNkmLBWjyNsd2dRLtANi3iz+lsbXTogHq
ukCi80gnYAXlXalBWpddRgk/0/9AljJXrQF2cggR3rWCzFUvAxBctwGebFQUQ3ExLftpYO6/00LG
U1Y13YTIDmWtJWvERpJm7ge+no64xx53nqWIcxUoypqQAld/U5vkWyYoByyFeB/C6QLdSl6QDHm7
NFK+vdg+orCgOlL0Y2uHz4WVCfzsotzYgn62ZL+gyuIwKXfYboA9W09uXYY4pY7NWyoEm9YE35kt
q0X81WtMx42vuv2v1s605wXqxtrKxkPmuYjPvOSecXU1ieT7AX0nbKX9VrG799BzUR7H704DCsZQ
2QxaVfIXpUtALZJ0d91nrGFKq7lhqVdiOa9x6CCOCMf+0GCGXJJ2sZ7JpohXI0wCTuJe+krNWt98
0HOcLYhVEZ0FzL+yjcNqxRKFtomb5A+obe+Z9dZTUb+NeaUeGjv9bVmx8Q42y9506pmGTJBLmwk1
SdftWuu1C99Hjb4JlsyqZ49h0h2gUcsYZI3iZwLCpcSw9dLbvCgPcpImDp0cDnGqsjoHmIo/GZCP
+RWbkUmyADc4XuoekRJE78EZ+4BE8d9R49YDGRrX4XQBE+h3Xct2AXiKCWogd+oLi+U/DrcltgB4
spvMnG/x8JgnjfOI2/biaRz2JB2u9Lzrr1royB2NTa7m0y7R8fUgeJPbagp9M5nRJyL6yMayCXJn
+kjl8KXjPdrWM7h4TTKCkoxeu+KpxTzC/hxsKrpB0P7A1l7aUH+e1UzbWI37GIu3bkz5BngthxjK
iFHlTO6ceNqTYHi1BpMvhxm/NgCQCr2iL55nbO6pdHG4MhmKiHXSiSI+OJpBFqTaHyHzMyNw9ZfI
ceIz8vpwH0IWm6buu2G0H+gsPlveHCKmUftCEFUj8MxaJl6sqsrPcaO9DkThbRTkxnqvFQfYW81+
2DYTg/0wQmsS6+yQBts0Udbml3/0JUvwaTin1iUlDK1jisx0mtnGCNy/seXadasfvAlERDAzW4F8
75FyI+lgr1rG1ckwoCnbOU79LqMbUQvzPkWZhTSTAVdicL0kKZwgnqmDl9t3k9yyXSpUd6c25gU3
v9BVmCZhCkK3I790BbLOCtA1MUvpYFmZ9bAfwzai6+Q+5o8xvBeJPIVp9GI7gLk79GtoYxaCgD+z
SgAd3l0Ef5gb1ZV+2oGL5tVRAzZVwKuDZuP8eDOq2YHO20wLAgBkd7IwIPmtN5y8tJJnWTUHVe98
ZvFPWep9it696KbcKQJOPOpGo0srH15EimmoDQglRTsDhJVdzcBlpOsVtdDRypHKnEo0WZjDx9Rd
61CccnILKC1JCGnCdt3jTpExQvH5oHWfM4xSDbDFdVEUGyjTCk5MC8VVVDVXM0cY9RFr3zYjbu3X
8K4Q4gRFQ84riNu7W9wVEOx0FFfR6rzIaxEdovKEYWqnIABLL1lXXwp4wQn1UpsxxNbBxrODDDp0
5HUdH/IqqKPSl+49JMt6KMu9GiWrTjM/J4AEYzQGYMz2ujHgww/3E6LAwjtia/8ou+JTQTJIKsDg
MpD1YKQqna8xkgpZs9baq0jemXH5zKtV1nBiPrZKs0aMQohJdMyaR0poZxCvFbVrB/lZsT9qKEwh
0CKtDdqVLm5tnT3ZEJwann61CAx4VL18b6V4jFNmHvgGQgIaC1xd+DdBNSHp3XR87JKSSprQ0ONb
36u+bSJQG2IiE0Bxt4E2P5KwxRgSFJ6iHk31aGvVk6mh47Q870bnRGgbgYfaxcJk1TbvOBA3KiG1
6UK+tnaz4gWqQCcnp0uKji7RTm2h7Jmo6tQ+EIEhdKnWm+yz9Ug5UZQ+kDI03NpRlsGBWnt099CQ
bthc1hrfodKbNyIEulYTaXEFS7GX1rylIdfjr3h0eF6ZRQEFoK8Y0fOoPFQINVz1QQXU2pMlFyKf
FvY3JH4Dc/zIZ5WPLI2Ls+sxPh1/MJAB9KThmsnk6397kFDTTJMk8u3ILWY7w4akh4woOnGMok8J
9zu8qTVEaMrO/AwRcI3J6exAwLJf251g/daMD3P8uLgq+v5ZQRtbahan3EuIJD6i4vcYWGIiwhK3
fGHQUgOyd/UQyc+1CYlLlJIoiOwymYCeHew77r5l683xBK3Kia7M7ZGym7vQdLC1pPNLT3YG9/Im
BRndsuitQnSatbt1qgNmjRtABoSu/BbkZmkEdXQMqCldEu0g7XjtGgBcblp1q/FsKMpNRQVp3uRA
rJ6jHmKSHwbt5CXv+lis1QTpv7Hz0NKqdhoMo7mRUKLbDKHB8GMnZCzDDhMPbkEDIPmp4UdGbJzO
+1k7g580QMzA63uYfA10zRNR8pFaP8psumODlOYYGIhgYVPuSxBGqVEeVDfeKu0IP0Vfd+4ymXt1
FTRf49FQjqTz+tCHqLveuL1W/YSE0L5l5F9M3SV2AZyQbJzaQa4agaqf+TKmUAQzdNQN8ShFke6T
4m0qL5o2M0MjVO0hQa3Z4DT3og87oiAYLPwwn33qYa99lPbVWHKJdKjBmvPcRBgrZOMndF/A+MxV
wlPrVnwCb5aQzyaADQRJfjVdgVRtJrQXBskWAG9RgCLyNQIB9KRXzxGCHzFQ5867Hi5a6O4TKZ90
52kRoLC13nqQUwx7b/QpjLOlaQC0NZiHnk1RXT61sOvylLU3Q7K5HNetA0FN1HdEMk+L/iSZv8bG
uhCuVY6+h0OWVEa/HI8Ov6qhvYScEuYCluhaHiJg25q9zxhJjLXCyPlYgBKK5ONE9g27H2blW5Rx
fKtb8KR0sIhm9yPE8ZIRRJjsa63epanjCxvpjZXH18gowBEVtxFOYRiTol6RDvk+uEQWRvVhEYKR
PIj7Ov0iwxFma4RPNnJOTVkcx4PB4aWl10i/N+68d+J+57SneSYRgoz6muX1OB0UER0myzrpB2GL
nWfOAaK04wyp1yuUdU4PX+C/gBR451jwlaa9lyxWVcDRBZxZWpQXNY4Opo1jnYvZcJtT0ZBKnYH8
pqCsjpNWbZqILcmjBXWo7TCrsFyEaYLyDO9iGpHGKq595juGum7tege4hQU6t26lPzjqScNLqU4g
fDQy4BLH/Chc3nrzKmJSPDgbNeg/pQKESZ3IiyBtLBohlpjeDhTlFhtQYlnPo5XwsHZUk8yEIrS4
dmH8jGygnZ6PuH1BU4NxvTnGofIzucp2xBRTlQTbOPODSwtZsKRXXNDbD5Entlb1M9pP7fwmUgM+
LdEg6rMd/uUgVzPT5LT3ODfadZ1K32iScg026AF203Fhz4Mr0yOGFnQJiA3JgwJOPlWHukNv2MfC
txHnc27q7oj1VhD6N4kzCa6INolmylq/tcbXyR0xYyGeaK95ApFdIMV05JsL62i2kCDz6C0uiDJd
y/KqW/CmpHOwPZgtJnjtvTqo4LB53OcLY3k4uZSiRr4NzSAv1c0L+u0HlnK+Vr6nYPVjSmUrIX+0
/R291ylXj5FqrKX5t4COSjKFjMEvQjLgx4M9BhHuqM7UgzybeKtiXxgnximbRkWhv8tcytXcxTny
hXVlC6v0pJjWuxZ7lzAawNZGD/Fyk40IVY1HtWHk3JqX2drDqlpZuIctfbEd05hG2CbLng36Wf0T
lNiQ8bYDZUaEu5iZWVM9u3kfpHm2JgFEs8S+inkXyOZBdwGCiW+x3gQO+g9We6fK8biJUL+2F8V9
sDkAzTUJ2Njm36oECJkX/GO3i+uTWpmblG6sDo9YlXn1MdTT24K8U1oOV4MwPWjfpX5Hf6RbN2Ou
7rVy7NKgYnfFt4Kv3CNSQra8XD/iy4v7JxOvBqoyFmEGpeJfD4sNaE4VT1+yYh+7hP0hsE8itP0q
Wh1dvyfNM/eoSF9D76t3vuLu4nhPhY5HlFyCotSCoj8AeNoxXgOCqSlvcxO/JkxtcDlw18wbo4EI
alQQDXLEEK0PML/RgqEkRD0p1t7dtX14Hq7m27z/6OW98GTebASb89JodmuCBEO7YLnKunC6s2Us
Vi2cfhwLu4nXqLHvqZOB1zBA/7xoNHdOD9iLqBjgWitDpmeQO1u70gPDR/bFWmHNZKLLODwAxdVx
8iIZViXhrej11cNciV0Orquun7qcuLOa8LCZNJzorupHN+4xnb55oKjHWT+0/eDXRntwkv7Mt2Fl
TD+RR8lmaruaL+cs+A/noO4S+FceKoLBinZhg4X+0C+VF5vMh1E3GShTE9q4nLOHLBx9nVKlVL1v
NCiItON1RZ7mZGVovF+1MNnmw/TdxH95pmx1I6Ct3HbimJIf2mMnySGwDPI4ooPWx6c2+VVV6MQs
g0K8dwYJbpZXYe7C76Prq0i/jS0nD/sZlejvpMUTYb+j19uwYkLqX24mJoxdDq9sumaRIIcGkxHO
uJqZxDSlD49zHh8SoiqiifS6mh4Ic0K55KnJntwa5pzZNTUqLChwpnu07Hzdqrh6mDrxaLf8FVrS
omALR0jQd9fNIZh/54h51vcIwSA6wsGs4nAcZW6zrn6XVCSupXYCy2v4zIaoWduD5I/35P9IkkQ9
aCP0yh4TgD5nWGqJoM135H2C3URPTI1DLFFYXi0EIbNzNAibKuLzYgFy+yvaASLHLqbHH/Y2ZuRD
U1uNDWMVs9sCV1mZMC0s80zyNys3uU95we3ArjfbeEhKpFsiP7jUTULeBVNI98dlZzbhNpTlwAS6
2ZnFtBNLFVX/5eMrtok98kdMPrrfM+FNFyUHlEuQW7WKj4xvaU8iuuh6ysX3mWdZTN8gf7boovdS
/4yIpCmjmclUsSevTbc3Dne1CkpxZ6Bx6ppXxdrBkaOEglXB2zDW52HGfYpvpRx89IrrNOnOY3pN
pk8nkbBCiVVg6OuB6Jcu5w2nOtELVN8ZXXuA38N3871mnQf8ktEUDN1phntFuqE1Ei1B2BBx0l5+
JRYBADuTYPbXY4PhDe/2SzpM64SsUrU7FZQYTXWs7bOeT7x1XMEuYYwNJ2fgUknXHSpN86VsryGS
bX1UQNE+1dZHLb11zu+mJhf2g7x2wX4EsW2B4+iqSmsLBzyiderzbzN5mWEdOsawnxYCSs+XoO3f
De8hwlZnRClJhTuKmV1uO6sU8ZfunNLkkKkXsHBbFjqzOu1HoA09I8WqL7cEQhyK86JdNwjMnTAN
YZ1nPBuBsWjUY6MAs67WJqd/HXTwzar0W4BTydLox+h+c++ppY3qCzbr0y7XPuPmPouvwet3A9lQ
QjO2JmM1fPB7dXyzPeI0umTfJMcmDojb9JOWgBUDbyAylFRRTlOob1sIjTrrYKKKWs6ezmFS4967
gYB5EeNzkAnPXbGJZmvNXDy20DAQ8FzZx3z+1UCNGlhyJu0TFiX8cD/Ct4rMZSCvrdHlLhnD565a
kDP1VhK0WlGLLuNexUQhgR5qvhPivu3Jui6db2TLBNSAZtMZA6jTbs5Kwh5JRqG706zsnjhWkGrN
ATeuZrNjoO5iHbwLCRVClurFnxjlz/bEAAf4XebrKHzpGNfugGTqLIil6yPcOANHxZySmfxjpdPW
cwHxKue6AVevcfD2hBgnvD8fihUT3nKExOtjPJooUeV0a41hF6pih/BlGalwZzSvhF7QubcbSHjH
VtbnCXxi4bG9Ka6TOz07HYlnTU/oVIQSM90zYCRZ3fTqwMrI/8G1GGvvcTxSp93j7AzDeD0XyQtS
6JUThpu8fKi1W1k/meOXbKpDyyLdSKZNg+dAYztDftLiaFS6v7reTuA9Vwx5Tuw+cQI8hGzl8Q9u
7WhYKbBItOltlq8TtjVnr72F/bdTACsHrInEQ0bPVWXe87dZXFvOrFGFHmjK54yeOlPVW03KndaQ
KAMqcDBfUamCguxRIWFCnT+Hgi9XBYBatCfJBBMlEFbqbssYd5Iq7zgG8bp4mqHMa9AV8P+I91Gd
X/KY6ZjNnW5NmHXafcMwKIJ7pE/vc4VUF9HFxFVbw9B1EYBW4xceoouZvkzD1SMZRwOaqhdBo5EB
RRC617waKVsoO38fGMw5sbdWDXly0b10sr3nlgYKpw+QEzGhslVf73DO5hfXSYm/cfwySw6ddVK6
o+dGL5Ka3+JcBBktaAn6Uewy/L1MG3n3CRjryflwSubcypNF650ShJjKLUzYDV0lGaHpM+rkVUUI
cO8ABESk1ekov8pbmj25dbVtCQSk+/OjcEJ3Dvg5BE4p3Ke4xAgDDTNWi6PG2FvDAdHZb+YIADiK
94PjngctO1n2w0xC2FgxvqT5U0WI5E4hTOLJ9sJt6r7nGKpS+3mCV9yjXvcIZF+CrZpVS4ZXpW+X
0HApg7o7zoXDmLpc5/qzk9RI1Z+9Y1fHEEjJMWtuuko8CxmnDXwdlfV2eK/0a6LFEkjiMxoIcqVl
zLeSgo5hsPzLnPbaZuUunuNdChYp5Kdbrf0wgEJw2IOpfYd/w9jIGJR489O26Va47VHQ+8wiPaLm
id3k5JTpMTZZJy/H/zXlPmnQ8TDjX3vYF2R4sCz8PWm81k1m2QQRMOhmuHngc4D6Lg1BMyIDk2l+
pL1zEe7lNyeB3T4SX6vOOzLKRu8pMe+xr3HhavKHm1jBhZO8OMLcCORhzWuaP7jpDfjPursVFXmC
9mp4rPEfQd30/PZZMwHwnvVwnym7FJkLiXxNgS6K+YeNu3gmXFMD+U5lF5s+ZAASrMmVlBY9EcLy
qWcWXhY7pQb7Pf0WmhnYSbMn98af+vQ1bcZVRe3E5o6RrvMwuLeOAQd5b3PRY4MudkSzDZzv3Zye
y0VHUE+PCQKCpk0/vUlfWU3lI99amQVphMjLpaIzf7wsydfL4qMi2Gocym3KJr6R9WHJj2dvGKgs
HBpuWB1jbjHmfDb3kgeD2GfdjAJYvmwnl6hRyMYNfAdkaO1IsFX4rgCeBUaRox8yaJzxirxhadvO
LRb3hqWoxjGAnS20T+RUMHEbtwNpfMXYM9S7ja7yGTl3xYNkrT+YJK8OOM9YcbcVk09bZ5r76rZM
DnKy6mbfNiDN9Aq6r2lnOV+6tu+Z1qP7J7fwV53eqOa3MLRejYooXO1DxWbS9p/6IM+cBSbL5Hqm
c8suXXotaQR0ziiHB28OK8x/+JaWBHCHNrYePursE/Iwhrp+B6p5LeGbR3m3c746chgwMvJi36Xp
LPBl9BhkdjYPiftcaSiskAds5UwceIWreuK7qx+TDyesrklFwaKu07wDCgEO673Ek9IV8a/ScFkW
4W0J2EmGL0sJvB5ih/4CGeTcVQBUebYV/XfwLrhfX6m+kZe061ZJfpw+32Lt36csaZWUkebI9jvm
Vjdxp8eUE8pO5UJnn4rd1n4pneeo+CtJYRbhtWAclhnTNdVAnnJLmjDhhpy0sKKlN3+sICqHar+a
24MYCfwGOidyhSTSeT2b327dXtzB29lh/AShKHBNj3RHZ6/2J9KQJxD15DqhAWe27L3axZ9V8h4E
bgLakRlwCyC2RAvL7QrPqjNBVPHgCQN1B7U2apWtCZMLJQYnAEckHwvt3FCvLLuH4UVTSyJGn9v7
Ib+QY4NinqjhGIWX3o/4CIcgQrvdK/GdYBU3H24QAL91bD+IzYKZ5E0V2nJXE7hMBg7InLVk0doV
gMXcrdk5voJlTIr014E6ONDYF1PhW/NvjtqyeU+JtEtdeVXBSbf1L6SvlUtv4LIy6szxCg2RUurF
ctly4xLOwd4guiib5mx44eukPyiOiVa4OvIXj3WWs5LhVbz289PSMLCSf+9AdukZ+ee61/N8SYZe
aJBjIDp/lFF7fF/P/5ur81iOHNmS6BfBLKCBbWrBZApqbmCU0BqBAPD1c8B+M23zNtksdskUIfy6
H899c5PUi+Am6cpbBFa1t/1vfYJagTG96eYk0KEdzJ2q2qfZ6+5iPkjkS5aKbVpqP66Gu9jzH4hR
LKVIlsTgz3EgzqXawTfYW0ECL64l4NqCCsYKL0ZaGalr1G3tlhjjviUUH5L9CQ2OjmgCZaVvMZ6K
VsGGk3tijeZ3ieirRPYBlWbF0+IAyWs4gRv6A9mFI46Au1o2v0OxyUKMF5OzrTxrH8Errmy1DbHc
gkbvGBKHUXWKenALUFG0kHC0i/DPXNJWDpzrADvLsaTrVW8MwKDewR90MhisNLYP9VhSOdUyjc0n
bVmySulN9+AN8osC6NURd/JeAT2okhsWfXgBBUpefXXZ1kYTSV59BlbLbFM/4u58ZrZw81PaOsci
WMCj8TF+yFze8IusGyPfwnXdmGa30mxnaSBSa4YO6UUdEjYtXZse4bvODQhioYkPBgKrnApvTp/7
Cu8Q08llFlyVyqhDqC6d3ty5Lr4s6lAlTddm+uYpqBK5E668BiiUZgzrbCx3FcAftE+irVy4Mypn
UufaS7lxjeGi4dwILjWg5JEDMxal/iGN/LfGCzn3QttQT3pmobvhz5IKet43AIx1y5u/1MU65upY
W6D3MGFo1p1udO8D5YcBnmMOm3Fi7sMFeZtK7jSbKTNEO6Zz0/gzTN9So2CLrh5gF5uJFo/ImPtH
+uLHIqjfqI5ASrtvOZJpEXFp6ALtMyb0dRhxqGvlfnJ/PexLRTlsm3FalTiPihQEbTNBnsrXIJSX
U288Y/JbmYG3GgrKU+ElXfQe1snIGXSruJoEZfcOEG0XJRRjd4xak23VUlJAjl4Vb17H3tQgRoeh
tusLbSlLQnfU33ASYFCieHMUCh8TQdn22nXRibzXigjVwrKY+3K5JuvZY7UISJfG9PxVuFkDvd5p
8xAu1J5ZNFdlenH0ee6sNmlzb1sTrYX0UzvBkSfkXg94c4+rNCWgGctzGOxavaeqxj0acbi2jXCn
+/i7Wiq0kOjRQxZhjOOto02VGE5OtUZTOofKKM4BmZ7m0+MNKXEGzqMilHZsQeVrUT5rCnt3N2/u
yAqxulaAmxT+LRhht4K7eQCCPedmWODTL6815dvS6TE9T3vN1njeq4dEjku6uxAQ3izrLaZRkhfA
jMXKpWdnoNGhMI4MGZ4BiK6a3kWbO6WuvSBr+EiCEYd+8GVYfIpLKkHpNrppqflmtByVaNfbtmgw
uRBryqUOZkeKVGr3w8ipaOZlpdNOwJI3OCstVEjCEj6DpfPEG9zC0S9qY+NWVD80tbqPSZiYg7nX
YBVIL9qk3CKTTdF5nMRTNITgO6ZRLedSlqXhk0Z3Re1OuF+q1aX2gfNTgu510yGZvsFRrYa2X3al
SZvXvme+NVovlvZTIaQMOBj94tWD0h3SqaLq75FGEZIXenTu2D+DsaW9HBOd8agNFG9S5xLbMXlw
iz50EOpzgwpV0sG+JqSYMPY28NF1+UmnWNaJkr1FK3uDN84KH0z7fSrIIvUQ4flv3uPM+6z8ByPR
dpVtE3GNmOzfT+IWVjdj+FAFopC1TnzuHRZVCzyzSsfwZbZXOXk/4PlUwc7AUbYb+JAUH2Vkcsu3
H6JcHSPixBwfT6Dd1sqstqNHTxBDdZPig7FvP2Oh3vScIlyCNJZGMsN2dhqDEp2ToEusRzsNpeI6
gFGExayauusgObs4rPoupEDV6Xcq7hd41zusfP6PcomZIK2XNvHN2JSnhsWPVhjuCcP7FLAstJ9l
DsKlLdITA+q5wJAF1bYfhJbDiNSN5TR0czwweM0skL98NPN7zKG8G8J+UWXjRU71Q03Kxx7MZTsa
+APEcbYzetVCdR3K8lePXttUENeyD7A4CQh+i2Lzata7qTbWyAgKLOf5XZ/S6KtNtgUFork4toyP
aSRgdvRcXslcPCvf+g5TUupR9Na3YflC+QBgV/e58EmHV5pd70QUod52DdNrZ9wGzYg2WsBGwUgV
3ojwuoCuOPjyIeaMsABJXz0IxWQULqxJ11OBHbQ3O/tdKqBgtpX3J50XGwJ8A0pOwrRiVoyqkL0V
XrZxy4TMqow3YxMzpmeZmyo6DIsJ9W5gLEVlPARQVoMg7ah9NWHt2d23J+m8aS3Pp+MXa5LvY2JN
Ct5+ufVZpkB0Eqq+Vp6kvMmL3V+2YWdn0+WFAsrNx9KPLrSudiwg205TE27TrHqhymWRtuiA9ijW
BlYEPzHp/W73U5SuhT4duuBZu9Mj5D/r2zfuiS4zsH4Ns+tQDkdOPqCI6IZJq71DcXxGeKlmdprP
J3Q8PPyGOCGtpUjOHvulH+4MF7pbKKD8J+uSrjKRJ/s2eOmo+HWiivodejmcfSF4x6D8MclnGm8e
KRJ6CHoVzDyo7NEi+CUNJZ4hsfTn/Hm02GwaCoPqgUItK2Fe1blffccS5gyWeskcihgYbC2QIHzq
EwtsLdFFGRV3Q7nv6QOs/LI7xCSUUr8zt32fFAw0B0mUOQHRgBORfBlDrjKlJDBp4beljHcGE/pY
OHILHlrkRzyoJsdLZupORlm5+VBjSa4J8wvcBvqA89HAlaRfIgG5RK+HzwRBaqfKBj1txu1gWAM1
Ceuj1AGwxRWBHD0VXPYKuGTOudXxLlRR8TjgfBmpDmZ0a4bRquu/JjS3nBbfed9PCpQg9j8ffS2Y
xrVX40ceqJpCJitwvOsHf+yXDkG6pmcqqOJVwEHIZV0woSyABl27NjtZiCqEg8E0Vnr/m3EPbQjG
9daTSWeo6tiZLVx9txatyw8/a3wOHq9WYn9oeYbIQ7NPiT9CrDyaTSOPU8G3azLqdTgbhvZylPxq
Quuzmb1MiYVpw66NSWq/50W3KUu5D+wviAMsJ/hy/Cc9wWHvLAabOioLpGDIxl+hs+8MVviEoC95
Qp22zBoy9bTRTS7fcbXKFDoZcz4NwdyzXgv7IwHS5Xf3bLBN9ZhTVoVoRHHPfvaxzmi5wGJ8dy2j
gfZvZj0e3bAEpGzcLnHPRTJY5vXOBBdXivYudu9YtyuGdpS5AmJ5V2JEaXwpEW3NFLAbEEUteHQo
p8/K175A2mVzbB1Ug4nr0sCGTmIKECURnIDC76NR/XKF0DgcxCOru8J0ACjOObtsFyYwlCZioj/B
WaBYEJITNhwoQUtb0WcLVP06cgfu7sTMn13ZAdVU2O7ScUMx4nYAc8FN37Xfe/1Wue1iSOwFQB6H
0XZJtTp49rn12kv2Ppg4DvGACqANQy3T2B0tpOfoG1l0mYMBkMxli2aJNpvG31FSItJRYkQUIH3P
K1wA5Tmo7+cBksaAY26Yrj/KnOAB0wtCgPRKrk3ZLnWtZ+6FHQEQyMBTY8i7AOXUkUvNfQVuzAn7
teKpGWx+Dq9KifmZPg1Jq7KHyXZ2YrpkUr2XCVHa1ulvgqFDftDpqe2sUBCr16TdU/WyBBOfEPRA
hKr0Y9j/GMGlugTMbXs2O2WcBnpecDC347DUiFTYR0VSoOOOXk03rcO7HWUrrTm6waOBWcRlvS9S
fHLZY570h5QrelQ90DVoNV+gLPiEX+rou44PLSYnfEapOo3+D41Raz2s6AciYkovITsszT3UnouN
jct23DmYJwuMxj9+28wz4H3Gh7jhZq7Z3cbxf52M1WVC5Bzspe38ECZFOl93ZN96rvB1cUgsGlOs
JzFsA7YzGbWHIFlHwTFOngqgSTbX0JTwa/WLE5TMJNemXWlhrMkQjDY6rSdBNixzlm6dHvFiEREy
tHEoW9p+YCmR4qrVaxfAS6yfTa4srbcdMaY1r3roHFX2FXKalWSTg/J5UEfhbDxK5OJ2Pb91Jqbs
CVcgAcfBqT7AJJXNxhxmOe4ArHsZhjBOL/1YbHLjtUnh57Du2ZQFsFpC3OF6wrshaeH5cbTTl1W+
N9PHyflpqcbK3m0Mn/V3SZ1E6S/xnzo59ZLBk1lhJLHrRuzcHt6nOxW0qGUMS4fq4pU3d6T0VG+5
lTR1/zUSX12Vhk4NLt1De9eL9VXJrLZ2Cy5b3IQ2dpDBJWgTbdXM7jmtK68pgz5Elh9TwEWaNCzM
hIgZS1AW4NtnxSXJ1WPrWaMKslJo7RCeh6Wqx+/Izr3ntucmFYT1a0MDMAkGgL5KUuyqmJqXHgqy
mwPI9u4ZbdtPsns3isSlT9GgoXFAmvK0a+0U4c3KvvygzxigsVRppMJX9Jq4nBz737waX5yM3RN7
GK/gtYTDZcbOQwudahtJZwPN/01nsPqZ19Rf07UAO4HRDFBtNDfJgq+RiVxHhgo3FLNLhWvmHOr1
eZRPgo+9xV/EdGMmIVc95sOAfcLnz2FcgXBrMJH2iESJzyEVu6KAf3MHuA67JwMm75caWVdcxjJ9
HAkRASM+NMZvQLMGU6LtpH47d9eox1oDo/Btack15unFE+1ymH9OFVZXh+CTXEsoJzFWGuVQiyvp
ArJuLUaSkJhSlNX4jU/F8Oz31r3vv2vkdjSixAwW583RzBQ6Mq1EkboDxbayovxAvzBG98xV5Cv7
Amxnvu5i8ZY1cDxz5uddw515CsBX2XWFNbZkmZ9rGFtn6ThgODVP/0Zu3VqgDu56gHZBNF3quN1H
IB85ECXsj04eQa237WMGJW3Lzv/Saas2q9XZljQHeRMvTtjCIUsp2eKkDFFE3MVFeh/3rHf4iNj8
dNAkE6HkrOPo5db2qtQEvLyqGvY+RFf839xXiPnjX6DPTSXCvWRachcw5gRZUd/zWaDgC61xU5sw
YVU7bMjePXtVX54M2dDelHrwMKbszjMl0gWj8Vtg3TPAusVZ55KLA45hzo4tCB5kv5RhLbTOOTc5
Wnleq3IZxw6+wgPczWGlVGQsZ9sxZTbVKZuwn2OP3kV1+ukbGBQ4EOtbznR7320nXingndojXMrI
S89NmJdLm1vZOqGbk/j6uz72VEYnn6NNutqX6Upr7QkiUs04O81+kHBmPw62TD62DFT4C/FsEPKB
exTbivfQhX9czGnPGxD8Y4LC7O9Ng3mGor6WT3Z5yBl7LmqeTi7dQA3MBFpU5DKaKRAk4mgHaoSu
wzqCXdm4pK1bjY7EJETk6OHZUh2+nJNfWlfNtxNOiqGgWIobdbt2aS9YxFH2QBBjh1+CcwTGz6nG
mkDXS7Vo9PKt6JI9ycBDaLHzhVF/GQcHPKGT8URWayKzPr1oOT76lNw2ykbh4pGeQibT7H16jN1h
II1c9UEMAYwfWzWkE0tPae9MmQ7OD2mmtdzW5y//vvn3kNkuTT2G6hhLzl/+fbOrNUYpZn/2a98/
cPlQ9vLvyxG7DYFfnQgjtUPNkgs7J5mSmWYLpuUg54fBDaZ/Hv6+9+8P//7vf33v7/92M1f8359X
FVN08JpDafIWXDo8/YexDzCz6G2SkNtH13DN7uLTLbLtYw58NImaJTAskfznS5G7eLt90XR7rw6W
cgqrI87D8vjP/9BZXgVpBVrOD1qlyMbZQo6Hfx76JADx2+MNNojpNKPjHv6+qv7vq39+GNvUNeDI
05I+P0bp/z6YJjF6wws17pZWerSxXCHM2kcmatMWazR8zu5o0MX2z4OdMOsz54f/+l5Qa9ley3u0
9MRlq+3c499X3OORodIRTQI9w+JeAx6qMOm1H+xy2yTyTQWmDhQ2gt0k6fzB+xhAHTGqZIcAeomk
bR29IY3BqJqxzexVWUctMf/fj6MhnI7Ry78/4e9X/f1USRcjLX/UrE50tt2h4f7nQU5Vc/yRLoOm
QCTHvwcYu9yE/v2xyXPAfFQiHFjkF2BBiI/OaIyjbRfEajyw+xn0woep916qrsPPwL3EAO0Ct+6e
tp210pLmnkaB9aQn7dUyu/jA2PbdIBeESwyHOsYWb6s6LiB2M2QnmoqzkzT8w9TpOJTJ6KzVgCPL
0pPozkmMDww69qYF0bUgYIHQioJ5/Hsg4NmiAtGQpcmqPlKM5/El7XOGLPxurS0DtzGP4dR+pmlI
bQsAYA+vRBuU2roKw6cwsGqGcOD5XAZcCFac4wtPnYKm0dYRCiNdvGT8RNUfKUDo72tN3KbeEbsc
uEBeKGwF7VDuHZczmo/RtHJGksgpctzcsFgW5tZ2Jgxjom7WQwjJOUGpTAKr3Mfq0Yk87TnE7130
3CqMyY62hsGNDa85/bt+jNE30bY98+W1OfkbXRtWpYnDGnQodzOTu1WnGecwJd0nBLiqKdKig8Gt
l8axmbg7dpuuFvMsI74VPrJZO3XZXRnWnMby9lKeJrfTOLQrOg5tVPpYx9PoZchkddOeI6on5z/a
bgPCD4Gwj0VFFkHF02MxEhscAyZTdgevUiPOgjXl7yeONTK6zmVzXxi4Xcyyc7Z2htba+yg6I6Ek
j/vMuofcxZCv7DaDBX8jbkBGVmhNV3Bo82k+B6GSQC2Web0BR6YvElOjStgpxKWA6r906ynfkv+Z
Lr7bhaRseyT6bnoT/qSuEGMyF09barTjzsCbFk3JLzBmbNW6nl7KSpz6qTJfeC1osM0reKoTo0lL
r8ItR1q5MpwOy1iWPqbl0GLlnL2mQfhbiNE+GliFg3yPOIT+n5btKTFHDQP28Az3md5aSCDvMfkY
tyqaS9ilt9HLvRs4h0UVay6zBOneOsPswXauhoonG5aPc7X82rm6OG+5G5r55t/vwUXj2GbYOKnk
IM+yFRghRXfpIaQsyb2X2wRp5PL3AK8VPBh/pGHOqFnbjc7wVu8CY06NUkq1gi/LdVYPxZbS6OZu
iM10o3cNsvbcVZPrWnhEIs+3cHMGhvEoNi4bYRfdwYAM7zhhC/PUp47FYJrmAG6pSGrGCLDZd6sT
zpnqVAMLO5UVwDCZNagqHLQ3bTcYC5e6ELrDvYIElN1snVlSa5u6PAVBjZvXpbxtsomvhIjlq0rK
4Y4Df0wjV3bq5ncjxVfMU3vMH7r08Cp2JlU4jgw/zRTdLITBfyQ2SRB1MJjPwqjsO7290wiGDxZl
arKzeDCkYEwokWa8k8OWcsz02L1EOlPTALPfrsWi7hMovKZZJJZVo5PLnX+vOje8lW1ZFwgjSEbA
Ka+G1rmXwiadpImVkpbYd6M7vLrcnZikunxcnuzWw5TaBkR4OAA6iXQvtF+0t9QNXuB0uEymGPfw
ZwiPEhlbi7RjXCdEheA2o6TS6JVIKmcMmzFvndwPMhLHvr21DTUB+KS8+5DkK+Ahtz2mwzgtiNTS
FihEf/9HdRv08OqE5Ll5qa1VPkbBvZnW3trgRLjy9F5fAa91dx5cSiKKzjU0/eeqG332Pq51Ru8Y
T61S/dry9qJnbcaLrvbMSG6mJGhKW+Op9DtjNyjVgL9NMvxF42OPFf8ug6IH+WvGHOXTR0WzgDII
gQeJqI9anCePfkPABsmElz194qyUrwNOEXtDpP1KN3Gi1Fp+qhigXujpbN3w0fNjg2jW0BBJze2t
rHHP/S1SAUBRAm4JVobIuDl1C/7VU1yBsf1JsoRkDV36fI51zqstB1cdbStO9xntF4GOc4j60XRr
jWWkU+rAm8uL0gk5mBlYH3YW6LFrrCfxP+8vlxSPZih5QHnEgamG6NRpd60dlvySGB/gENQV7fCJ
OJs2ts2ifxABM2DRMfR3avf8L0DVT5HDRJnQqhKH8Y7j+V71fkpBg9eu68p1XmO89LNxqtq1LFzn
Zm5xLLwS57DSs3MaReHZeQhLXTuHLFYbwOB02FU1P5y/R9UQtk2D6IMfIBfrDttnb5rufTc/0CqM
QTaexD+f6LG3Tl5pTPtOYqIfqKabP3CTYoyZ5Py2Xt8RBNHau0rjYBf2foSFwEfqsSKjPesq13cN
b07QVTF5INE/B0lqnLnAGGcABZwGihzJona2TmZBRQq6GH9pnPzzVUuDJd3smCGR/elTDpiW2jys
fC19McdWxylmmCvPdox9CiogjBpjOXSgZ/OekPow9K+DDMuTijGzeahoKVC4hPQMJFTbSe+Hrq+p
kfC2ZmIATmKNuXSj99tGbrJ1vCw4grLoBR3fYzX+AHEMV3prAvITLhz1OF/FU4bw46bWWmjxpsaL
vGMEdjEZc+IiFKTbgxwXdRgwAFVE7IeSsJTne8faRlwxHfmagLN0i+hXUDpGADw2n/rcY0NB0R3J
wdldkOzIayeHzMasDJONsBZbP41o1T7Anrt1rX4z5uo8GNaKxr895l0OOqNNq0V4q+W0o79rqXTK
7QzBra/q/NsUh48ZTIdhq7BKH+Lg3QIz/WDrDlakJoMDRBMbPZ7QSBo8jXkUHJxALqORDFphxYJV
ZTpPTQOI00wRy+Ag01R1pYdkN3kFNz+8W8raFWBJOcKO5YZe8W1uzrmAARbZ0J24f8qTmM0ktUdQ
h3q+haOCc8Ez7dKluuypzho8YxUnlJ0lnne2Ku7kwou7g+pHAnTn0UzZ4WoBNDNlHW4AbhF9H6l9
roELUADNlMzNzrIH+WWmX+BnwmM10YCdyoJRWf4M9AIRLltX3Iwdr4CYJVpook34YSSZuSxqfARO
ERz9nn5Ebe4bl7RhhAnsTxRJoU31nTTVix7iPqv06aTX6t1zuW11bcdiZOFf9yS+W1FVtCZY9b4W
jAYtLLfpQPgtse1bETs+IyalQSJ1T4JPzVqPHeMwlpY7T5QQG6Ah+t6DZoQroJo/Roz0jtaA2SuS
4TKh0XujZS+jA6kEs0KzFKK1juFoQsDS4JMHydUs1X1rte0dBWz3YeE3z4oqIlK0/NPHinbpyV2w
3tnnkJqp5VSArs5wjh0yjKbs1vScMAujSQ44gBMbmxYqADpjtI+sRsL6R611AydaSdt/iwywLXTe
3vl2VFMpAEsOVu2aplsEl0DDZNlcmyTT3gTYcMPrHrLIOFdNU1MS3h40Qn8ksUEmCt/mr6uSM8e1
hsp4lBspAPjqAvJJDlZC2dPjkKniwSXLeMep7Vma0fXv+Pd36Av0Lj1onvHpmRX2E+VwgC2LLQOI
AZeQuZVz0EC4QIdHfYxxC+BJt2OJI7Vk2/MSBlh5eRqwDTKm6paJGNeG08sN41Yg8tmn6OpnJwI8
ENCbWHBBXQ/9NUja/gLPbh0bVbmT2TDy+viEariF9gJQINaJDxEF8FXE8IlFgNy/41PhUQUNwOR6
FqtJp1UAhhR/b3y1khM8ERtQXeYOUpk+Nh1Io/zGEy7R9ZlWWb7y1i0vbGMl+MKJEW6t1v10S8s+
iuF78mwsWOOhM41qS3D7TRchbTJlZZ+EtImjj3ROqreu0MKVqBMMZqOxHYeS59uwCMaq5keDxbAa
E42ChhbTY3SdbPxcMU5U8iJ1v8oQrcDw9A8Dva5bTSItJ/JCUNhYZHr+Go3Gr2651K8llbnKDcSt
XGC8T7CEBwXO/InZnMRd7LHirvxOx0fO2+8IBcRkxNyZyUvLJQJAbV3Ts9Mtvn1AZG32VRpUzLvk
uQqdF1XL7WSZ2zqlqwmDLuib2hIL+UYYjViBSDNhyA7PETwiZ6iLpeuk74YLVN9K3nyGqlslWywB
sj75NKDOAjEeBMnlv9Ueq1QxpEuyV2nL5whCYTSi1lq28dBOOvPldo1aKsqsexWN8aPnKrvrCHv7
BtsgeH9eKBJuC7vKtnZtyuMIOEHqoEGsYB2lWUN3or2xQc+tTdwpnVtcJ1m8RTZD9N7GUKhCBtce
mjw5ShZA6BvLOI0PwKRvxlzBXv6GrhZsi6S2FkIHM+CHP2aav8YjIAovIhyFir+LpBWuKx8qD41N
v5YyhmUP2ROnAYUZ8Hh5qYcP3dWeClVgBi+Y14ycZBww8GYDxMlX1j2UBY4FZfltta+Wowas5fVn
TUksngx2cE1v3seAo47eOmtHlrjC8BVVJifivhe4MxDBgqxdOlSOdoyIyzEq1li8ySJPwWbQwe3R
dDDVi/JRc7ihS8H8pWhfufAQ1RnZP13zBmIjWF3tIvlospqkb5ih8LPAB456hUzHcEu6P2E5mBRk
ozQlpM8Et0h4IPpNj7/S0HnsXGdLLcbzmDJUqtvcRFlgSKjTg1Zbe+oT0lXnwJ1Ok+hJS13Gll3C
Cab8sGWEM7/E9jZ49nmOFs3oR9saBDWrzTUxbKS6pN7SrsDi4qGy+jM6oi1GJii62DQVQXol579X
bO3diriNl+E+GCLz2QIqu3DsYZU6X02auwd/HvtONLcykR48YAaZaNZWWz8nnEbX0DBo+wuPlNzS
OROsVMzKEJs4CQHOxGbF7Y4BsF2ZdIpaMXNmBznXHYnhGWT09ZR4Y6tq2jrKh2SgUADjYO9RecTh
C+2t9+mExaDJBrhJtfGpqgnJN1HGfqP4Az1ngvcANd/1ubdkQfNlzW5O46PT+5xQo/uemph6XKSB
oXbRaREzKv5qeRC/Dn33OLJ1An5xdl4kaNSS7rZk2XJy7kUk8oHXxAuryC+p454oiKW35qoEdcAe
xB+v5LVOCm5teRV+Zw0fEulWRDcEZS1qCZ4jO8QFbs06cHeBfoNLI2gAYkejKaSwEAyq4kE1ODa0
Yil1V+z06DuMhi/KSDEvQwaFWtQsiwLLOcscHla9/qBxjrNclV2nfDwUQmyToogfYzyjiksYz2S9
jAuVURCTs7uwK81l2c8dmLx9hLrEx5jhrMjxcMAWi9YjjWG0r3pHtC9zmdbJakizJ6to4N5n70Lc
VFc9VEUBJsFsrCXUzSW+8vmJwZnYjOOhL1l/gsDaiTrqNzIAFamS5mol0ZuX+mJhs0ktWrqJs0bl
6zz+GIvUgTYLnMUeh6uISSwYQY+7GdAa59GGxqFsx6kKHZj9u2lFvekGnqTatbZi6NZCwFmiF+OH
TuKHIraILeXdVsg+5ebqZ/vct4gCOrdqRt96Sfszc0DlnCYkMoZHsUIrnMsKbFN3sMldFR+BoGjI
ZqT1V5aMzqaxJHSI4IEpC9mw4ZSii6+kZJJSq/qE5HRNiDzsmvn56yl6WOkDF9HIp8vBJ86qO4+R
Z9+lnYbPYZC/NSTOlaP3MFOKr3RO/ZkWdfYDAeKFMK0Xw6DFtqDBAqKD8S277IJ1rkNYnJHoIEVT
E2GvnJKzWQH0jUJ7o4XOC3/JiQlh8pqNM8Dcx3MzWtMJsB96maejGvIB2E50trn0Kaakfo+uzxwU
Npei8SsOkwhHqE1TGsSkaj7hAfGpcbDAnor1UV9KsBGjA9nLtDg7wJCl56YUaCNYEiotwxmj8Hqm
ZE+hiLz0Pn0qjA54Ize1u2dT32eV2Ry1lNkV3IOpoOqAt5NnOmqXDvLOZ5EyMMRZhfuqB/LI0nyU
of87OgzkQCLicoMeNRrWA0oboMPIZOdO36dJNtsw7+6zxn1JKXjb9MU2KT9DrTrxWX2v/xA9aJMF
KRsCTTlvs0ocvdA4ZYm8G0N1KQKjXkec95hs2hwXCfPwLyd77DJEsXFQkZaRIH9qaGAtpSOTq0AD
VeyuABTeicEhj/R6cdZM50u11Uc/elRzVOPGLDBQl9bZTUJ1yPN9aXuEYJqXkfEqL6Dzkbi85MZE
W+YgxXLUOF8vqVEqOBNk5v1cQDcpfZsiTXAJbMMl/3IEEWcg6WT1j1NbPeHxyVdFy/E/0mv6Hiav
g28vlxzM3vGeAe0IrbmHlESb1w3TgidgJq76eeJfcjNalYoUm/IqmIaGe8MwjJEEpwX97+OLT9TZ
ZqHPurMyzGeKfRymI+TuNAZzkwQ4mPIJ554y4mLWsFthwWCcdhtbk9TETMcWlfh27+i8ZAWmm3WV
zGUqGRyd1ZRZ9ZFD0kszMIyHB7Mu3eqp4K5YJVG1S7Pap3Ch2bhZjJBrEjpL2+OkGZ8TgbHOCltm
rUDj+4jD/2TBiA/nU+8t1xrWAhdOMUV5mLELR1/C6aeiwkuyNSAW+LNFyu0IGOJowQ4DG7ablH/T
IxIFjuZOS9XaEX8Yim7ZtTDMapyiLca4BtU6RTtdGg6/uO39XW0GAFs0rnQ0C4MC8V5y/arcgDMi
CJKF8FO8u82LN1N8jD54blv5LmssBvRlKCxMm9TsdnpmPrTmMF1llv7hmgeU4BxzPADjoZ27M2j8
coz7JqaxOqCILIDxvWIOc6ZnPVgOSmAmabIvGOGspl64Vl72wp7BGzn0dYyZA2/GxjkiUdZry3fO
BmUgZvtsp6YOWY8GskThi/fyTdjH70S9OPbr5S1AcKBrzj3J2e1bxkOzgXb60JVgkvzMxOoZoIqP
rbhrASgGmGC2fmjgTcv192RiJG+6xj6ns3chK33Ph5BlJTHouXW+q6ikZRDWCqcQFmuK+rYhzfPr
CsUq8wgvB05DwizQeIbtnoSD3cAQNtmrvSm7MbcjBuQTjdKy8lGWATcCEz1yqqBdmeFXjizImRLS
CfOPx3owzqWJXC0IKltTqm8mdHRUvmrrGWjEIulGEk09lW9Vt/E1399oOBCFJMSvWcynQaynp7bI
T63P5NOhrf6cDJyt6EPNF15c2bsEhSoL2dmjBiB/AzSKUi9tMZrRxkwLsQtqZHnJRHWy5EdSpsCq
rjXpuCVnF0LWJgnG0EiOeTxsuPulKxV+FIJGZJ0Gh9JAfi0nMHalAu3gB8YqcxlIFinqjJ4z/gC6
Hq2CieaM8DnDrZDO0/WgkNecTTrMVhUlG//D3plsN65kWfZfclyIBQNgBmCQE/YURYlUL02wJJcL
fd8Z8PW54VmV+SKy1qsfqAnXcynCnSQAs2v3nrMP2QwBA3Z48X66bQc0qCLKngqPUxuCVGRK2LoB
NbrzcIoEBpTAhcNoquLSpca3SfoqvhFXr0Ovus4G6UCj+Ohpo63LIJ5WiS8uf/4EKbDcFCTA0wSH
eesySlm1hBQeQpbMwDY7YtQQbrUTZscwC1nSFV90MO4sBZmnyhiJ22by07UjCFq4di2K+jqOfkBP
InWzvHkhPx7Q2wzPvVXdUNwRfesj+Ekk9jarQtMUxU6/MxXKWbO49DFyptBErzYlyW7Gjkl6KlTA
QXjHcNmuYpMr14dLgieJAeXQ3QmA8mgij4OR6ks86Z+akyl1gb12LZc9s8U7EJB7QedGn6YUy5js
Rn9jQ6dFFIkkKGZjWm4P2C0VWJuFs1NS7hEt9xH3HQmh0AEaRxMrmA4/8Vy8DoGTb21j23FC4DEd
502PHa6yqOtHB1ClkyH2SBDz+MGZURHjBy9eNNo4IFgWh+63aYYvOcSn23YuPrIqnaibuqunVXpS
TXFLogdSO4iDcdrkZ6Zkr7VZjmsZRRCEjFVg00qlfkGh09iEWCi+jSQ3Xik1p9vCSxlqzJxCvYgA
3oRHrrSnUzaq5EJRqTO6w5MOBNVYofcV6WGU0Sejg/hgzKa5nlUXbfjLbMR9uEPloRPRoaQd1MKI
4dkHyTTHep/E/MXSnjeJ7eK7LXrI+cgsq9xJ17bPbRZ1ebilx8Itkt8MpktrJpIb1cPpkBOfRQFI
aHqggwFurNwdHbR8QMoBr5IvM5u/Kp7LyDQill0+h1k0j0FXs8MVZF4IBH5RNUcXk4D6BlQ6zDb4
Cm0as6piHchH0vaKVO9mIxyPUwxnaNY/ExPPle5bb6eYP5xMYVyyRIZndLZAcpLX0Y/tXRoTDWM6
+MfrEFoQ/o66Jamkcaixa2iBDNdQjsHz77F7tDhjNrGDBh2Mu74l/hGM7xA/RCPKI1gcKaxb3vqI
bLKgrLIRfTTVsmCg1kmrnP9/gtmwDi8cCeODo+onVQqbmVi0dzRLcz+5d1keXvIMQYvDuA+MB0fV
GsxWHyYZHZLy2NQfVfJh1h2RIhz1/Nn3kBdYX1Mpv5yAz9EWEF3GaCEmynRrO+JDy/ShLST+zqJ/
bhSO8rmAElsBsUA/xMpNRyTNkM/5/qfnBagMrTuVpr/Q37/8SQIpk4+Js8VaW979GJQQRTTO0Kko
eORM1AttTZiGBTtRDAiyiv4p6ysiL8jjTRGr76Z27p+104JzLqcjnpkzkn0E/T15aWlBIkhXIO+l
87xKRcBOAm5wZwWwS7jviQZWxM7iBnLpscchtvq2TEAOcrgaMC1sszlEsd4P+4zRIPz6JOcI3Czi
pOV/4eGxTMMHMZhsrShB3aVl6zUnxlV6hXGQVT1FNml10J468VM1MTrXLPjI4+h2rvEYAOD8hV0B
YSn8VrN/ZwYBux+PU232JEKl6mvK9COCHryRZGO1SFqt6TFjjr9xjatv3LQ2LdIsoNlbZAWa67Iq
14oEkk2Twcprh+GYB4E8hdTpRRA7NxELCsqsDtcAUuw557wsmmI9hXAfZAsbksmMHxfvuUnTdJg6
gyVouJlHj2LfkOPW2sdjFa0DwgIONYJ8MymSvW8mH/SLK0gQcGw7OXwTHQvgG1OfObb5Hgp4sBog
aOgcDlteILavsRQhJ+cj0clH/17H5Y+bBT4M72DekzbxUiNCHvOGjboAnIQeZxsPEdJqoEKj59Po
7S5piWVwlkwGl7hVQIpqpSqcjRYX3vDFYRQeDDckcVwwy+SSpCrFxppywEB9+BljF+EMeskil55T
49ybhfU6NIg569riq3D9ZoXUOqSDPG+bVij8UkWJxBXTwYSykrpLlFSQKeFLYBJVICn1KoyEg6Q/
FOAWjiJUY1aISMbwFlt8JL6zrHyuYYkRe5ecegu0AE4frkLeohDRJ4WaceU4+j0rUnwwTvqmnLo5
Om34acY4Kw1OwgTSlSYsnKarhoMlzbtgcg9l0zwJi5Y0o0MACuG557iLyaj4rppQA8Ty3u3c/yzJ
yyHS7N70kqc+QgWdGjVBtnG2pobctzborRFaB2MlpvKSbZXnn0eD4DOBuZKB57gbVIN7yCO2SVQJ
Aga6QSZymCo1MO4C7PVckIigkI9Oh395GA2qPo7YPlNijGoD611jw03Q97Mq5cL/vhopTizC1tEX
Oy9NR8DrLF3ywrIvI/idEZK8b1yBgYAuJZBA3L+NSQqfHnCsRGiyCHI+dZP9E6vhVzcgOIwq3ZO1
SIgoBncR+vsW4qYynA8mgJ+hOQTcdpDOgRnnLrLYEHtMEVCKtjXZa/2NYZf+ET3PvQqb6kTyJlfL
Hq7GgI2vM2jThr8RgZwSDWXOD+MvLEwvsxUb+JAM5OzuO2oyTppTfcxZOeitOkhzmbI0uELWgyb7
Oh5e/PdhdH4rZbEvEWdNxQBaWavPgBJ+TWzMOp1B8eKusNEvBvuUCNR1VTAaGpFNY/vSO6flwa2a
gR6VS9xfpP+sW895vhDYjxkPQTBgNJ/t8IymZ8eFkHvEB1juzIkFDMfDD9QMuIVEe97p3H5MAgZJ
Oa1916OxLqSHl5Tw2Ay//ChNsRGQWRQfoRUl3scEmJvvgDmTP4U/2ZsuEGvZ9qeM4yPRicFT73ni
1PUHDe/wpiURDxRUdJSd/hU2KmGo5rs0Xoq170bDI6p6VGJjepuxMk9+0uzrUdynvY8Fr0Kd2aDN
Xat0vDFAl3XdY990LctJuHEc6TMmWUMBXyUIiFCyXOglHQmFAKRXQ/7uzXbxh8Ksi7Px2W/wDnbG
+JLR/YHH5t87yrymDtydJvC+WJXpBdszwpiJzas1egRLRJkR8bnpWm4bIroFjNiqpXTEQHcPIHX6
tOHqb5K+ZiVo4doXBpmvzO27A2UHfQHLiTa2X3wVFX9BlL3UzEsZaCLRiuOG/JMOZE5QH6AnpqDL
05t4wOSZ0guz4xrhxFD/7mgSj6P4PS7B5QWrKB+BuXXLftJOKG6shnucQDuNurRUM4cyGatt3dCS
b7BKjkzRl+aeqIHxaTpWJaFwXgYmsyUp3oStvmVKd1t5rLC9Oht8xpXd+FjmQkKk8rLcjrkmtZhK
Kx4QzhdxB35vND9ypYH1g8BwEI0VdHZISCFcMqq9TaK9fTOD0yk5YCxBbS/jxKI1KzgY2G8gP9Bz
85BalB2Ir3HOX+d5n6Tl7250b6yQfy2T9n4CZcU/RPs1dBj8CUZZxsykrAuOhNGfRIz5K0Oc7Yem
OprhdC00vBGBaGflAi4tzeKV2sPcag8HEoqOHKl9N8wRs3mPkaJk+t4+d3H92CAnAl4ByKmb6JD1
9iPnq31vCyDwNZnwbV+cOG7QVCGuyuD0Q1sDJ5RGdAVj5TaY5ydWmnaVEh2+TljR21iZDHmWg3GK
E8FS2W4yWAVkI48DRfjaCTz4tXBwVo5VXrPx5E5gtVV8byaYOYb5rYzetWEdnQGVnGVySi6KnqfP
sc8xXVMKLBD+BXYWSfSCYTOC0THTd+b0O59ZD89N6m2Xm6PCK8MkK0dJofU5Kt9Ndsi1w8SJfb9+
s+juVAqfYJlMLzFZf2vds7KMTgmnfx1HoPQT/c27uM1i934xAY+6JTCvf667ELZTs01jfzjMhYET
lJ525gBsnsPx3W38aYXkbSoIdDRo1laBW4K1NS+Nfz9EPtCguH2JPLii/mMRjV8pdP1d9TYnVCtV
B5DXrRTJsdEbRWe1Lq1GbHvnjRVUoIkcL3NnXAzQoYhdaDvXdzyEJ1fLAxL2HiGgwmTjM5kfi+S7
Erid0VmESxvBqPUuEhy1ZxvJkfDpI1kW9FQXkJ8w7U9GZhsjipmIxsXBXtis6Zem57pvi5I6i4wn
Wk50TAt/aTGNh7ivbeBaew5NULIs5e1rKcH5diCKZ6uYN2qZNHbGi8gqH/cMnaCwLaOjUT1nGSHe
hP1pi5KJIgrKiM1QhinO3mxgPCczK4npOvQARXcSzBenAe+UPYak+9aaFMLsIczlTz6fKjwpPjd5
TGdy3UQ+4YEeZHU10qGNaO9QYePtq1V7yHL/thVdf8JauhzUAS7SxT95nvNKODBgFKLPton6ZTig
/HxZ341C4NAI+6fIpl9QDcULAnisTQFrzEy3ddXkwcZU9Exc2pEMAEZmUC5TmhE2NXy0T4fAKMxR
85cXUjZJTz9ltI420UgaXzXRkZeCrj5lVrrpXbi2XOymvjCUQEjgOd+5Eree9r0dPR48Fg2OZ6JY
+2h2NnMtP1WINxELroWBlcMSQ6gppSlhY4WKyYPCs5eC/PcIno9mfm6wZK/Gg2FMvyO7eU0iSdBq
9KBJDqmsAG+sc+HJHtBW0SGNPOBtkaQNjn3QC/oNA50B4SpPnrAOoeRBWmIwC6DmYZyrFcmWxp64
Eg/2qb3R+XCxU6u+GD0+RydqjjkzTpW3/T4LhztRd/G2LjkIk1R+9GT1SzMiMCZGVknkIgruMT1m
w32JMYvDuwYfUBgb6hc+qUjF0XTo90CmOVI9biyfjrPbWr9Q0ym+JNYDIgy27cw0HZgiUfRF8ovk
smtRZo+JM7zOAbIBesK/St8qtx2FWdXJA7qLX0njp0ek7Fside8tu+k2mInag6/U1tJAvKrok1Qg
F95McSvBqOKhCzykkDjXBTZHqPnTKu9wr7Q1oGkfKT+DrHNozsZN7xjPiHK+ImiV23Ac3qZYMwOI
nk3At2Rn4s4Qj/NEo0Ai8pjTHAR0R0tgpN02a5cWX5YB+0M+m1bpa5BSojeIa0lfEu9WM9ERKj7Y
3133u9DNs91QqhtkqGKovVRGf9OlHEBKXXwkHrzFXLx7Okl5JBnwp01kb2sZPwz2a2lmh7mO01tE
+es+2Aos0OsUQ1fXgs43xs/BFu9F0907qfPSCgrJIbZvkFpDCi03Ggsq5/ZPLNOPokHt0w7ERTIp
39olmlnBLMFVPQdJYd4xJhg2Fj0XkgwrpvROibCiuG/Ycg1dvEydrG7ckf+gN3Qj1Hgf1+i/+xAu
/iyDSyKxj4cAlbDyQcgkqPyxNz1mqbQ2dfcc+LROlYv22M/St7okuyKpagqxnY/vL8L/Xe36BjYO
9hacZdPClIAMPGTxrYpRsOMBYoFsNFQIOCQ7ee8VA5P2xZRh1RawSad88x0aH9P0GkpQnFYZnQDC
FEtWX721+otySTjqGSJIbNabJAAU4wnBSX4KseX2yw5K82uMcLa31taf1AupKXBzY5pG+RuSx3o3
mPxLdEVQr6Mc5flxFL9Wrf4ppvTOz/16ZeXT3YAEbBM3CU1c8YWgMT9ZJFv3DW13bk9YHTappCm2
96BQ92acvbjERuN1AWsKATlBvEh0lFeO95XuLnOmqp1HSW6z31Fezlj/DXm0c8a6dXI/NktxM4VP
g53uu2Gw7yScJmVhwvZ69ngzQicn4+Yo6uRHlCS9ty9ZWn24UUc+X9NfyoC3lI8bx3ffK5vlpkaq
uSGgc2kcV1xg2z8ElvgJRkZAVt1sxJjQ28qhIIVoxRHW7VQvHwHQv1Q9HCYw0ZtCcbgiY3s7xP2H
SnMaKqO+7bqs2BV9Z23mDkGyuxUJCAzPk97GF/ZbJYxNT6m2QWT4nJh0aS3inzYGGWirfpggwI2o
t5B/YrtxC9zV+XfClH4Te661c1AwpYsUj/jdb6JQKDw6/dTHM98dTYQVEs5TZsl5AbriWF7QYC5I
scmsxAravBLPsYcOjta2ubFdus/WxMASbMKSHWQcOzjoyBC2GOu+QqKk4sB9lw40xcGjlzB4Lyat
+n2lGD2W0LNu8D0XparWKBqIwi7bl6r0cxStICNIKt+4C90hQ+GMKxZ18uRDaDXqZ1lDLcHK2Tsw
UPokuMkj9m0zMdiVlHRXHsVIYKNaDWImv13bHxLb+grHic6WDXewxnQLiMMFe07fQF/jeDyMSUcD
bKF4TQS54xCvPurK5YIUNaEYqfwdjupj9sjKKVXMeI/jcyRytgiZ3p5LBvLrrGMTKG35a/LfE7AX
FmaaDVitxUBmPYHrTdYahdDGRsO/0YaJOsZdDFsW5LicxKOOiaAGj7Yh0AHTX4Qdy4ui195x1Ybt
8siuN23s0DjOjf9g2PR4MWD4jbOHM2GswiS9rZZcM2YbWOkz75mePhrHbubWFAZd8LEmoIRaoe0z
QIgATRnYUU7W7m8NEp68HrJ6BNY6RuLMqZ51VlDCENbMiQL2HVQJee3sb1n2P5ILsRty5W1E+qvy
aOiTWrTOUFLEAVpHDob9muRzn13n4gwqY1EqsJ+V5o49JKCuRVPpCc1hyVEeLjcGCm1B9FOIWgId
tr3r0IGtjbAwdpPN8NK2zL1ZtgLKhHuZh9raixC6Qjnb667XRJLmFxm+uWN7Bo1yUgD1kvrZCH5o
LF5sK3/kABvDnKC3rLIloD557iUzvqaKf+MpebOITYKX2BO3IIQEqQIAwR/m3RQxD4rjyjqYhv1M
NFmp8pNb4mOpoor11arIbOB2TruFd1p/FD2r9oQ+a1Co51wB3ApF+hx+1iESynZSBQO36Lno20O/
LChefjKa/ju0JvjXfOllAo8G7c5KfnuV8Skq290NcfIjE6vaD5aJcMxJwWPMnLnZOs5506s7mpxH
iS/wBuEoJuTApP53aD7XCkMrLZIzgzMWaR/JeBYAz47eCbJ905wgdmooX5B7Pra+2eEQe/BFS+62
1f9YGi9onZLK4RRIUSputmwBc6AHQf6jjp7rkgXqszylyz+uHzTKn1yQJwCvkcFVaOsjPZhvpE3b
Ivxi+QIjvmBwFvfk57xk/Y3usjE/LG6XKJleZ0GyefDeOSNDUUhZZnWMISc5udpHIaKuyj8hjEC8
GFY31Pm8nfKmx2yJrwUMKVBiZ02GwNynF5+FpEfHmMOUtpcFHtvnHByaPj0Mfv5eUxXEOjxNc/ou
ZpYkQ+9K772xOJaPARQMO/pKDfahX3WhTlV8rd9lFV6EeA3tD564m5FdMIMBBJ+RyaB/g6TmjsJo
k1TNlwIm0ZLsOL5imCXArx+e/UGfGdMTX7oIKniLcJP7sXira76FnuOAbJsTKIfUydY5qgM2GapT
c6871MOCBHV/598zG9lKCVIiE1cKj49mcLZecAloZfqhc5WQSgqbgmFRJSjNCKIPTkEGzjjOH3Fw
a7f/CW3GoINPIvRIgs/oi6NKkkNvRa+yAuNAodrzzXAifS9RXVPGr+ze2keufgrb9KZI0XHWl94a
vi3xLIg7YjVZFXG6TVIeT6ijjnqYzJAzyrSKDO+uL+6miSPQ/w9b/f73fxM+CaV/F7badH34mf1z
3Cr/l9+fbffv/2aofwiPEyqlPNMNz3TUf+WtGrb4BwNOG/SPtC3HNd3/ylt1rCWkVS2/UZbvedZ/
563a5j9MtPAWv5GO5SuiWP8lX/Xv8lYF/8Zf0lalsgVvz/Qsy/dtn/rY5Pe/Ph/iImz56P9rRFs3
OyYkgNAHtN1X34yDV2M5O/et1alt5vhP7HXGlh45lWFZXYOyl0dGM3usMU8FgiiKaLyOHo70SlHH
/OW7vPxnPuxf82Ad+a/vz6GvaJq+kqbLuxRLWuxf318VxkWEhGxtMHzdhX3S7FpTB6uaRigDqAKZ
7Y6j+WFoECowKU6uTSh4Hg3oYFVn3bgzE8o8XkYEeo0ghgT6mq0EAORT6mHiNr28vpfFcQ51dJrb
/L72iulO+c1nXdpMiBPYtDlw+O0Q4pw0S1AVZlH3N2Edf5qT0HeFnYUvdZZglVqkelEKnsUWn6FC
V+pDqb4Mo23fAZzdDsH4YMdj/v/6iv45MJdL6ECRtAW3mHClI5bY3r9+RbWaSlcScb9OuNi7CbP8
6c9LpjocJyNgHjnSqlTtIlBzguzV5HwPCm+s94pOG4zJ2DulSbJnh9enaKKAFWkWnjQzMZ+I8mul
jbdWZtMp7a3g6hr9/Uxg31OpsBbglN63OgTzUFWESxUF5xuPjOzGj6ZbEXfEMUV7N2+815F3wdpv
Exabje7rjNoYtROiZtujgrJtE+uZXT1My5Tl728id/kG/vPeOvIA//mGLN/0beX4lrRsuTwEf7mJ
6mlq8zCyKa5Y/zSehjSj3YEcYnzA9BHcDR31Wi+TE6pRDgxMrulWm/BrjR5qstOPycm3u3M3yLuK
dvJO9FDAg1SH5wzWD+K59Ky6NjtHufWRJRrtzPKjLkZVzA4TgWPT5tXq/XSTOUa1AzpjXvXyQp2L
YpoGy2H20e9KZ0ivPvWGxRT1Z8raiyyG6trM5u24+OD/eOX/vEhR/e8/qqDakmTpnII4de6aWdp3
oD7iw9g1hzSqSqiBXkkDuoOmG9r+roNKmHhl+iFhBuycPAXkY0tBwGClb6c4Og4e+Ith+dOfH8VR
yOS8j5ObyIUDNKawkhcffFfVxYnhswwSgPVp6NxVbtDcBiXj+L+/fNaS+PxPlw/+iW1xsBUWplFX
/csNbqQ+tA1L63Xt4au00LfdRZF74WuZVj5mpX1oltCtmMA9j3ZHCJlXg/ppmYVGZrsNpA53nLjl
YzbCyOw676GeAas48XRHuEtyW9lVetemdC69u2wY6pdqyZ9LS1WSQEG7yg6xFdeLAbxyxmT/9x/O
c/7Hh7Mtn43BZq6yfMR/WeCw7KaK/tnI2XL8cnxSqnQR6XPgkGoISeQccWwZhIYnOEKKnAq6IyK+
Gir4FcUeAEojiK5/fjQPLvxJ1dvMNPnZn5dcLaFrBOFtgsncZ4YdE1NFuMyQpM7GC9LkxWhLhTgr
3qZO7zBZk/rhz4s7TMfKwNzOnGJ66MtB3dQWx70/v4yabHqw3YjePTvAnpgWRVDlJQeOdFFNQNSK
P6rNnz/+eXEboqxK1wuBnk+kaoNcXQfKVp9Ejl/SyYueMZ4M+8ImTxlV3tbwvfjdm6gBg7G+mqIv
L8KugJDU4I2UQUpE45OUaMGFy8MKL1VRPmdllmzb0LaOOIaYVmXZgkGZ89Nscyxs2K12pts/KBgI
94hPw5cQy1VPW+PaJ3X4gnxuS1tfPoxO9f33l1j+Xy4xi7SyuH25vq5afv+X5YeTu4rNgBnS4Emm
b417DZHhPJUToY5z+xYWrnwPZySqUYJWuHQJiltemMqh50GYjNn3RjtMTocimXcGiYS0haOr9Abv
9s+LleberZ055SHn8IlkMqw3Q2Z94Jnr9n7iOrf50BQ3k9ud4oZYJRpm9VG1tniL5vuq963bXmHU
IIsdA5FDzEfo9i9hRnsf28tXXkrnOy2PXWMfuqoszohxGGvV1TZKWsKNjaOB5AFEiU9/eDLn4IZu
7v95cWu1+fuvk0Pd/3hkXItGAY1qc0mjX8Lo//p9agOUWFMivxr1NlJOf4MjlUYm1JoBEkygMgby
Q3eMyPpNCikfsuXFE08Q481rMrjhXe/Vh56/+fTfL/XYbSodoLztyDxTFDXPhFjvy0SJV1nTQfNy
kksKmC2xSYzohMhzz+J5M9AkQ8C1DSV0SM8v5wfkQe7GsAPoxXp2z8Kpbv+QMMh3IOGFXv06Q47u
Cx4Rw8cPgswTJ4P9DaREHSihiLRYzOTt8iKtYVz3LVKvmulxvVjlhZjCozc3V5Sw9anvyZA0RWAC
dAfUVBkVig+dv1iRPhmYci5wFTtoof1NXHN6/vNC8hswIyP6kHpp9wStce5T2zi3s027FdtjlwVQ
+p34CigYs1xnniX9XK+dxME3auviLi+onNCLdzaj7nLudnoo5H0ewbRO/Kq/4jg3N35lEL7cwGgL
GIrQDWgy/CLZvVyGPZVcuBODM55mF09YmxXlxxjrt77SzYMOq+Ic+Wa9ngOn+ED39ITebrxtoym5
/nkpZ1hecW3d5M3M4T9w5WmcbCzYifHLM8vi19/fdfb/eIhd4bo++49le5bLdPCfbzqXfOhiwnu2
jpqNlkP1gNynOjQV5LmEC36WvYX5wk80sRSwC6O8Hygq0+PANOZk66zFIlz8NDLHORRhkj+ksfsa
FD5bexN9M/Az9pHhXIvpWqahTwwqkeQtzcQHZxpHTuPohOLJv/3zAv1r3AWxBZMvUsNzhZSyAcHx
+vcfmbv/X08HLoU3lRerl5SWT6H5zx+69rux95wpRSTHXj+VT39eMviJIO+thxEC8TnU3nubSfoK
XaTWjfLyo4ipN+VA9oNEAntrBD4ix0HHLx7eV6y89Nr+/FYFajhmjivX7WhHLzqAYYeGQBJpspvI
L3/2kgiVSrvtkfs+DGbW0VkzSRPqSgJjlz9iTCVxLYp8NklT/mjHdkDmst9NnXdpCNZGXtdyHC8m
9COdXhdILMWgR5IjcVUNzVOdhCEd4vo7wadPSVh/lOndsY3iby9FF2OkE+0x/yOQmLrqeYUt8X2y
/beWinbd/+4M76fAsz1XqMy1QaBTlE4f2mZDo8G5zrCTkI4zLs6s6bMeY8wxdrl3Ffx6bWOLm5Wz
98vQWjMlJqUe7w4bgHfvgWWdP/wOhPhUAD+jBd3lBJ00w3vSyEPqpp8ehla/RkspmAPg3EYAzVCL
NdwmImMYvbvGw64jA4OGTn2NxxlLWxHFZyOnnZEwyooMOL9VmT4Kychi8KmiZPCSxMlbYzwpVT8O
k+scEwccV1PA/F5ikwY1vhoFZwejz9ZJ3WFq08Z94qGY703I8U6unxNnafos2Ujj3hrmRyjvq8R4
jnxIuVHhEwBYXVO3q7Y6RD8ukOxRDdBBZWJWoi5a1UgVd3lTo40Vwb6xilcUpzZqs5jg4szCoSDr
iZH4nB1Mv00BRNne2maIYDfxvhb2TqBUg3qDxMWo5YFgSeYreE13dhX+MiHkGa73XSvzGBMKsrNi
kkRElwfH8CHwnXbnZAZTwQGxXSZ7cyvKe848rE75xnMTurbw4XPfZGqO9dTrC3nMANxrRE570Sx8
OulJwJimcbCI6BnQocrBuHVwSNwUEld1X4JJhiXLeXotMiJW4LesMBSjea50eGtU6YlP5m7JbaA/
biHqrqEpI1gz9tlk3tPn/4kMjDaDFca7KEobwk6Lh6Y3n4ACwSJqVp5XHZSFgAWYfq0HABqVvIl8
+paJVhevmmjitvYyuMaTkDDtk5Ml7qx0fpmbodi2kPBQjvFzNkR3p1j1DtJiEKVxejgcdg+DlnqL
0N6Iixe/8z7z0icR6gCs46xs5h5dZ3Z7DYLyidC4n6wJTqN0ontN22BqKDBGh8uJFvHMWAterRUZ
FzE/1rL4opO9TyKU3TNLSIsOLQh95zDNyQ6XBZoOca60T5sLFWhL+6uDz9HPuFCYOL4YpvlpOCN7
UfiaofGfIvMwqGGVPsWRQAjW4XzBnnpPr/leCw939CtDNB7Dyn+fG0US72QsQsZNtWxU9kdClkGE
ddpoyfcdp2odgtkc9G9EdeV7zhsfNbpJoxzca34TIle6zyesLCMeg5VV8zBPsnywUv9TpTNG0hHO
KH0MNI0herHQ8MJN5mHLcWNDnAeTyVupyxXi++lZxskB2DUDSJ+NEPAqeqnRtG7MhphcYaffVRo5
5DQ2EHfyGqFPoNztONVXvyR+UYHYjJ3kq8VvR8eXdF9E2zjiiG6dBk55YTavGAV8EHpFtEmVvcyV
uuQ3wc3o8QQ2oz7kNU8aNgZrK+hYrAYwcuRIwZ1NfxOJyviMAeLcFdugyM29pLHoBc2uk2guMDlO
B5IFCDmF0TladF/JNrrmKUOO0JmhjufBBwNZYHkBQ+ORFBqKvxdKD+Psj8I4a5f4qgHYB/t+7EMT
ak3iSFHbvwVu493Sgrnjgv8kGe+rhZy0qi2D1DdiMjqjv44a/YuSNbbLZg9qdzi7amJNtyougt8f
AIxDDiZYtZbNjcr20BnrVZ/y1+Ru8IbcqTsmU73Dp8WoKTKrTWGWJtTA7rkNMMulVgXdjzg/065+
9/HZFw/xpH6Y+4S7OAb3HDawBESNrlIE+bmp5nnnBNNrVy0JO9aIyC0YU4IKRrCsDU+uMIhDHOKO
xE84+sLOf3tenL3lgC1gOzLuief8UtgX2RbP2L4eGkvV+xCrQ9tf425Xj/ZTUVoMMav40e2c2xEd
WZUk83Gw5nYvQSt2bRPvcq3HjaF0eB+4ekmjdH4HsM0X3CIB0t5j743TgdBsD3ttBhMMmUmG2mbf
W/qEnMJd+QkK3GxCHliAXyNY3MpQ/CHkejA8yr2SYbbGumjWwruvnSfhELKUDEa+mf3smkxEbZDK
7RhpesbJwFA8FcXWLQ7AFtwtDSBzbxnMmeNvzCj1McpYEMc5zo9OXd+WPQHcuS7NrY/2e8ejUMF+
9Uv+Ixsyd19p84vguOa+C8Jtwl3+xGb7Ug+Q+P3Btc9NbJwl2vpVZQbXwXLHOzBp+bZP0t9VhMvO
R0gxZk27dh2md0nMAcyc9LPHkWuX2+Uvuw+xYifFsz0S/7YIOgmcVgxCpV0zcPHcTSXb+dxbxpZL
jbffQD7WM2kba/AONZQYW+Kg+Q/izmQ5cmXLrr9SVnM8AQ4H4ChTacDoWwaDZJLMCYyZyXT0ff85
+hX9mBayTKa6r0xPqpEmYTcumwxGAO7Hz9l7bUfi5w19qOhegZKEspiQ+vJ9GGBf5I3/w6y6fR2D
ewuSnP2haH4yozv3dDrgXJLAkKHMJYqEBlYZITpTYbAtcz6UGZfUeugT8OhY0/YFDjxBJH02XTpO
zyuRymHvthoNkBwQio4WtJHgPo/5S2JOTOlw5Lo1qsYBPQ45oo/FCDNviuIf8eze6tjw9j5hI0Rk
AT52cnnym2pG0PqZLjlJOiaKrRjFqU3U/G8P1tSxNbH5lZmXnl3iLm4h83w/7rIz+nS6kPlJJ312
ylNJGFtrOstA5LeHHuHBt0mHh1/skYiE9tYzcYEgBMoNl6hoGnjrEo9hLdGZu90u+MT5h+W0p2mT
9xD1O7t/j9Pp3UvteqtA8+yjYATCO3wPZLx0LbJDXyxH3MZAGGI4+aqOExLHCXyO8KqlWFgaH5AC
MoT3plzUNqSKe6mL9gL1d0/KBRMV22nnfc8c8cGXWBP7rjSPdTETL1c9uYiBNj3xh5zv2fhc9nov
ImCkNTYZLxnaNrIxOJI/6Pa5aGxZM+vJwyuSEB2b5YR+Jgn5hNizcBMEUI7e8dV5e9lY6Vp45q5y
5YCTEuEGjDIATuVwK2PInn19LBukL51jwhVH4Kin5spwkE70jLK8zODtEI1W6+8hmq4Y2k7skc0l
qIcGvmEaqGMmx0OJCdzFw1fSdL8i7e6NRtIdLl6GOXlhgkqytG+/+synse5pDNFqM7jGb9HOoDGA
WnhCQDu1PHzLZY98sVo68Od8brEukyJGcvER8ci8t8b2ZzCqc0jdtcLr+D6aqj5MBBZ0NA80J5q0
QbgcTvPBSfvXmUQ7H5BGDNetlHa7TasOk36PiK3nJTEi2cwzAqfS2BhBTP8KP9XOwkEVSzQcVYRK
CLyh3CYlR31PcEu2c75xfytsw6xQ+AIQnYPyQuoNzwtQ/NA53mGCeAjVuNjiGYFgVUIFpXwqY/DF
dMBhdEEgCF/EWGOxzntjM4+I0WrbIGM3F1vfImmin4MIPohL3kMK3QI9EQIzfrQJCE+flEOKMl72
GdDQMCGOGbkGey1HBO94epPY2sRz9RYF/XlIfcwEhCBnERGDHRZAp/GjneFjFgWk9pgY4m2uNkXT
1XtiAx+LnM9NDc1Ogdsk9pNWQRf3R5ddatOY7o5bw4HiTcCBNKrvg3IJZydPhmsbzVclZcfg/hAb
QJushKvdCBgTTmb4EzHCPS1KRNOti9K2LD45m7LgRNW4FhkFLaYMfP5JjgbUaLZzzDEhnepfdlgk
a4tX95CQRNgPZ9Bj1xkIAx6VKFgL2FmXeZGQ5SQHuGwNnILQ3PZmxfFtnfMiKeML2Ovcxw/SImkE
GKS1TubxCanWfLTn5nFUuMgwcOCsJaEShRl1oUNI6zR/ZtZAgpXuLpXjbRq/WWi/YbtxGxQMHto0
BIzz0TVBgYEZ+pjIK80AYfjZkvbE/DmIlct8ZEHldchXfacHzCrTw9Q3r2WYbowpmreYmVHi1qTc
yahbN6QKWMaQHo06s/GyVt+bXES0qJH+ZgI9M+CEx2D6QFzyGFe4uck28lYG5wLXmj9TnIebWggM
tfM5EmOE+p+tSJTcb214rTWkeHeeUagotBka4Ogm0xcIsL+iCfNc5vpb0ybkvBw9xu/QIBm6RN8y
c09d/5g4toY+Ob5KFpVyzLNNnfNTyqOLFjyNaPKJI7lnYAfjyb73UYkb2A3lLnOT6WGqOQF7iT/c
ndw49D6t9qQ5W5b4FLo/WE7msvvhtG/zeG/KfO2xvuxrvJ+cZUkL76oIfkMFl8MzuIGcp9oIP6jA
Gb3L7wFDn5VjO6+JkPukb5y1UcnHfnwjvZtEGqJVEQpxWxiMGDG1MNinnzDhZAjFmaQna1cE7muX
lTfko/OvlKSJ3IX5Dgj1Fra8jDzUlxJjxxHR334yL6boQt5UA37mg3L440aYa2KOamCYrnfAWAWZ
hCAFdFcbtrlvTSk/ucOidedzmgXKMq0cE4UoWpzPVBeU5sNqttEzYR9tysTbpl1wdNKAUhP5FaQq
Umk1BuEufE/KdF8O/AKj4/zdGsjXioH7ADMrEPT5V6zLd9QjZBoN3RmABjihgIOQa5HEOMvnDO1I
bZjDQQXpS8LMLIzDk0wghSjRJOvQgUkZ6PltKuyX8YWeVbEWbMhHwwWsyLwLhcNQbcEw8wH1A7ur
+WFVzpXpbrBSAcvV3GVfmpK0TreODrJdO/Q/CzkSk97UWHjMbZTk7VXcVIeanA5ys2WwAVuk61gk
GZkeDIMpBKahnVGEAgRIQc+j52CpnVs1mxuFYJkXPGKkYs2rY7Q4HWmQVc8Rq9BgTRMbbb3ICHjq
a3ff9t6ZouY5KJjBTKLfNPgKNx2tHsTCccTAxqmSLWLf52C+hhO6UXOKqlM54F1PQIwxEY0fk3r4
1Q8wgYHEEmOnwlXSs6dgXDlRW+Mc7343anitxgqgr4qwM9S/Q2wPuxwDVh+YH00RnYwMHieGzpbu
k0kGgQV0QmMLeCgdmMKju4GYe+J6pSNgoA0W0SUOqPnTyP60p/zTKHMGDSBgfY/7DCNIPzOLZtgB
r2mUrEry5o6EoMklGwSQ0oo/YdviPFlnahbIQPUdA2O87uv0FYI23lw8WZsE6yXFS+9SPWTDAugi
GysCWD5zORpmw651ow5mhiU9h/wc5lqtyLdSkBPMN/LP9cm9NpJN21nbQQDYlUfPyzBZB868DggW
iRRifii93sZ1X//gSLuJDrVZAHKOiNNxOyLewKs/ZwHOQrcDBhTxe+aC9rc7WFSk1K/1APWfc+1y
nYCcBkF94B7Co4j24EwYnG+UkgN2Aj1ME93IwG1V9Wgbc4qBzcCU2TOQmkbjTefREWrMSMyUuXYS
WgRAGqZVHWW/R2rp3n033PSUgPqBO4k2uXokD+Z9IKiRekTf2sCJt05tfaXCvyEB52qbumezCStq
apxEQZZ+b5Ac+RmcJJtWHZ918j0MH9uh7ElmQbqOdXbnT3LNrfAtkXqBsfRIylL7PLYSHU5EMUok
MxwCy+eIB+3emYMfTG9qko7D8FyFATJR5xmNaXS7l72ZH8uuvJdRczFEnpxG3V7SH0Bq0mD0udmw
toD4W4UueEG3jvFGAzfK9UtRWy+w5KJObBctVUZPgyf5Z+RXB8Sp+1KidI+GhN2vIHimgjjfZ9nj
nEj8zZbkXMJp9s+zZGSC3HjGJe/cnbAbvUeb7sGO9Evge4BzEUKvl9GRyBJ6dDr6Vta25uQWv2iP
tEtc1YLDyZLTEMLEIx/NLipa3iSrur34GtvIOMJMIlE9IPEtqHaGg8SkV8iUKJLtES19newLRQ5V
Qm4iuCTx4Laj/TDW/FDxGQ20hXhd1SodiVHAa8GJtMJI6X7aIRPgksiABwGnKqu0eNID8Q41vQ1m
Yj26RaaDMZXNOIhX6dZv2LRoAPvgieHDLkYPKrnc/GoyjDWjJJ1azAJ6VU/C5mxWa9rfrzmp7qjP
3cfEdnZ+X2wBpc57rbdt81Sb5nSqk8rftCHETyOmddG7H7uoKd4TU/9wkXc/2EZ6g/TgcbmH0yoL
xJMZtsQzEQ9KmOt7gBIzTrOb1eLK9ocE8fXQB/tMu+euaX4l1u/K0xkVNIuIDSnbw7Kl0hDqec8S
EaO8SPJpI02OQmUVbequzZ7aKNyRu4iL7CHu9NEcJ3VwGqQrPcjpZBQo6+b6O7DCcH02TUkPf7H1
iKxGwZ/zzjfECIXyNc8QpY6dR4CC5aqrHHGZ+ZbLSWgyg4fkWDFdVMVNMgiBxL0TjvGMC4gSMkov
5cDZC13hpuggYfszHR3lwggozrAci1Wg/G9spKxSYfLNG2KA+XZJI9Ckxg5o8Xtj9WhMrGL5SDeJ
5oFD9xdhnUl+WYZ74MHEB856TIljDfPKLZvPeDDN07AcBuPW2bnElWo6Lg8e4wWvCy/j3KbbWRIg
UgeNs81raJDjYKMSoDth2xzlBwQqRIFfjTgoQIICcfCZO+y9qPpZpA0t4gYYHzWxtp7txT/i1tYB
sTZ0zNRft2laU84me4vN66EQkLXwFHyZCiUhupQ9jQCiwAdZH2LLcR8yo+z528ZP7GCHmEb5ChIb
Shb9mAIe7fCJnyOZvKWAmLs+1c+mHA8DeutDJFH/hWb1MRjBeGifMRpVl3A90i9budLod2pAj0pw
yzW0LIIWsMNyJX5Va9fnw0hMrG3sut6i2PpiiIF4OoOBDdTBMNOe+0g1O99n38/wtpv1J2sZ/zCD
+dmDUJqpx8mKjnEQPUdUJKPiAnICVs6h5QZMa6RDtdUxbvEL7Gv9+JAh5LX6iEheZR+q0fkgYcpG
nz57e2c2dqqpf7AdGLjMDQKjLGPVNOpcF52/Y1j4uzXmr5IeIBCL7tOyqJGzKCaFrrlN6GWODcLo
1KdWyhciAqdXoA5SoX+I1CWFFrqFlvDutfODLuILcBsUk/Nhjjl4xfqC7u4brWtaHAX89pge3VB7
nxhionWEB3ltpQVMYcYfR5/2ZYsIGYGmbnaa/BOhwmILlDzeVKEVbxMopwVw4EfR4hqySNkgzLlk
YPEc+B1AXs40wZjdkYdCrEpvXnSoPUoh2AaYC2udo6KCTtR8JY3De5fSyuKN3PWqecLwtuCRIGoz
aHnNjD/Aa6zEdlf9ZgKhHwKSrrQzitugZqI9pfc7S/BFK+vRSRQS1rrEkepSLjPaRPdThXC9aWkt
qB72suCNgj9Aco9lIXDSi1dGP1UyyV2XBPRvlsOK0Uxb/gpCL2s0eK1tvQyqsl6suNgJKmY4qCPj
JcUZHcRHgXbFnG4egRx4J/Sd7aM9MK3nGpChT8jtaKxQIwZXh8LlqswZx1I+D6sYyHamJ59MBrO9
kj7L2UwXZygH9dVQBAMmAycs4xs51b+JbYm+WYXTnlm4iXWuA4LXqNyw9vtfThifYAvX5xgqXw2h
+DpaqNxhGeb0KUvKdprqG233P4yhOOXulB9ESBDIkFg1JErLWVlkV/yMsYsVFVAxOzd3qLedLb5H
61I79AQihPfrWpnDZcCCfgdgsK6oCu9lsYMB3dwZFGI1Je+5zHKXsXRcLM7shvfi0SVz4dBqt3+E
vjM8qtat962iZu3izy5rnVsc1/E9smfnNDvhuyKF/P7nIe5Jnwwlh3bQLQey7tNrQMF853yA7IGs
BPCAARPpyGnoAeXYU6KQVDGrnEi5L+1bl3KUsD56VA1HMFHRUwJk8smgkH0Y26DbL18c0kweDaNh
GtMTDddX2LtViRWJXtewcboEbOBi/jaGptl6ftLc/eWhbiT3YDhczcSp734xBSf++PesJdVUJ6Z9
jMDkPwfeT11yZmZIjkqc7exM4LVc17aszuioDXfomD0E+UV448WcRf+cpa+TKqs7Z+rhOTRteEPl
HIG95qk5gxgTMsq2k+/9Kjpu/JVJcqDKcUHK+kUmxe/Ez82zqpr6ReXCQ8eY+ds/X9Rtxaqt55fJ
ju/AFP23QVgtDekq2/tzb784UB0ZYZjbQFGCQjMaoTi40GYjmT8LzUfIWYRVWTeQiEVnrDDIy2sm
uVwS8oHfi1EVv0VEug7CxuwSOnCAMOq5azfW49UP4dKETXibddwwQPc+7X7RjDPhWlW12teJVE+5
ZMgx9u6vgBP1sulIbprPMQ2/69jsX2s7stAGeE+xMoAIwG1BP4VrBeNZvlv6p+cQwNxRLlq9rBLn
Ms5KBLJYB2oCdD3DNe8KET2JikaPq7gkg91mSnyWNp1yaQzHOVYvobbBuxoO2qGO23qsr17MWLll
6LriFU+7od3QAapf61ZXzwuqwrIuXTT1b4UVFCgpr+ClU7aDbDhOmuxeqxL61FI3uTlS9Ajl2Dp1
XlRsEx9YcEAGBbMHFXeH8V5cHSNANR8SQpIYibgYaX/QKW89bwqG9SFrv2WOtaq82eHa0tGmdxlL
SfJbrKAM3hzKraPpFGoVOb/LWIL4iwvjnsT1yzQY4mgTUU3TDeZPa5fhmfbKE24wsQ7MkayTaBQX
5LbWmkQeyZpnEc5XpQUSrHxXOyDoCqeudkNlOE+Tm+aPNKC3Y9XiuO6W0LTSO/U4DxwQ5FtFE+nB
X0QeotOAw7Nqk03tvZ7+DFIEYw9VVGd7zpxj1bHsA+FHQAqhxZTqlPnMPcCe9ls7MkJUmjJHqTx/
Z/0N9l7iwWuOyCdzCVPRhp/dLUwd+3qZYRbuO6Zn9+CUSKTLdpTcCfD1LfkeUy5cixo4pp9najdz
5t81TXVLWgQqug5/D42lrn8ecrAGXpUZ+wmJ4CZQX+Sks5niKZ0r7wcOAwphIOdOrhjFAgM6A9UB
AtDVVzI3NpPw9XFyI2dT++7eZ8OD/jd0O+VyoZaG5+FsJ2Ze64GY2QfkL+4tgdZ8YK/DucIpsQxR
wUzayPaEzPXnGRrO2pBRCcCpnE6e4QEHcyPOAtUi5Q1AN5Et0x6izNvpsrJ/Zrm9LvFUZ1ZjvqXW
NJ2ZDyKCiHF0OoW7tuwYGuvyUETopA39VvdZ/uRlWt5zoQ0Sed81QhZo0qk8RnBl9qJovpuFBxYt
i39JrHU46yb3SaGofCj8pbEz06htvPacE/o3zg1SRzChbiJMQtJoxVQlxEPcVvnNNdF1eQ4oLzNl
wM9hq/4UfvvLf7Tmobwn7MpySBcmPLgraeGYmSYvRcNSK1DUGSEMukPCB3Ury75yne+nZJ4eReKW
r8Fg/DIqtOpGPF1JFhuOKkkOZQTVOYVKqYUTX0yDuM3edrDD5s65Uo26Qg/lFp3KyxxGr3bLhG9I
tPWUtHjbQBwlD4atAD6M2trlkB0u+FaxyCUdvejOpgGCdBdlBCy7MpmfNFrke6/GU13AWxDLASWx
ovCSe1JfPJSJKu02ruidTWLrAGecyOnhkQPlhOawTlihdphhpqd5lIdwLr2rHhtgck3anmMgOiQn
Dtt4+f+jndfoIB5kk8hbWjBI9Bt7pjcPaqSMSHi3sHxvmgn3qMWh8lWXS289lsN5yqV3GmtBxkfZ
M6BopLFXoKy/pZIIjFBEn6vWsYaLFUwkyepKrCzTA1GVGtyU3ZQchiLNSdDhIQ1img25YKQ6IID1
O5T/Kv6hgtfOyoibyzzG5aznwK+AW8L/J49wINJua/nJts+0/9K4jf9SVB+CKdujnNV9tlji87lL
t/1YSjTPaBknBV0jtvWV0zxnw6qKnpr9zDxfp7YFIbM3LpY5bLvOso9GEdiM9OtvM1PuXaj4zG1P
LWDgjq5TlWdnZeIqRN6zmubshTCl/JTTIgPW3SFClJJI2KQrSTiMSxIks71oXsJsrE9NEqCfNfXb
0DrwyEL91GMG+a04iFaNXud5A2R8dpz1/65zgKEemKL/2RPIqBXfza475ozU126Q4QFb7HGl0giM
zW7Hb4PD5Bqc4gA9v3qD2W9m8BNgCjMJ9IP4T2YL44OEFnJjH2pZ3/LxxR8pUmqPWA3XcI+kPzk3
7iug3hhIt5HZBbss9aZNIadmyw/oE0HM3ipuW+/F7YMdogbi3bgzvukZ1GHjHu3C/Ur9aZeNYQHG
FDoLJ7lyPYweyN8GMEfaER1ce27GkC3tL8G4cXv17DNsxDLrPNs+/ahaR5/gBOgC6rw+V7AZL51J
qIWl91NtPmcWAUoDBdKqfq+9yNmWXme9gIphQQwMerBz5B8Zeq5aXBMgjrALS5Ne9ioJ/I3WtI5Q
VRDQnWb06oI4Xs24T4grYPSUWSji/CpmLqICGJ/pXIpHfyQRc25Dey8z3e+DEmNkBZXxhuyNWX/d
Xv88E0FlgVk2FXiOPD4WUfApnb5Dfja69CbCbj+Ec7FDHGiv6K+W98ovy7vsf6ENzR996oYLSUkb
oiGdsxYlD4yZVjNBWihKdH8TCI1uKlHtSdnOTcvubnq1dfWDdHgZ4hcRmuL1z5Pcfi59wsxSLV4c
6uNL6Syxw/Hsf0BhOXCIAYaXRemucargqSFb5ekfKyD/iO//vfPAUyZyTwftNt0+yzatv+ofZe43
QxThBQ4m+Zka0ffRlYceyi+QRQzYiWUcwcjPAP2ZYAz4HMdPmSrSHVpcpP+X1/JHYfqXF+PYnhQ2
/QrlCGxji03i38nIK7DAwIUQM4H/tFHyNOYTEGf/wSM/ciNjWNb+YsyIrBzgdacBGE9YD4NwOrh+
ptZE+XVbtrfiIanA/bPUDbT00M+E9rcs1ikNEstbTTXpSA1ZEXSBioBWZ22faI4v4pEtHgCP3MW7
l7QXzkrFrRxJiM+q/vLnwRgZzOUj0p4/T834RxkhGsiE158CrdZN3zT7olfuCYFQeKijMDr5nrQP
EzkGx6z57vRsnR0U54HXD3RHxu17hq/sT3RPv+T3hMQ9wWm0RlyiipqcCz7d2jZdVptkCPTT+Wva
t84JlCXKnaJHZBu438auhqVYzKAY5mQ/U/4ATUJLywGeJLCcswW/R37Ynr83vHIZB5on5ITWQ6Fi
tYPj2b7lI2xKUs/zaznMZFn3BdHToErvHd3qNQFJ3vbPXWBH0NpawsH0+C6CMf7GeAgvyZhq4jje
RkQ+9z8PSlIY4vIR2+JUhGl6LYK2OpPgtG49o3guWzzy//j6+Q8CZs9FAS49zxVKOK5w/+5arvLI
I4dp6dUQ17kK6oic78guNj/6ZDY+OhdAZY8kCLoX3xPHLWxtn4VWCDpmJZYfPrB46yUjOBpmkpdQ
wTNkgYtukwfcyA4xBAP9CuB1yx8FPHeOSYg4wgAxXmm9+w0RennLXtpkzWIsLrcYZGmTV0zrLcu+
hXgYDv/4T5bLn/SXOwZ3pA/9At2I5XMX/92fbFYKrH7VAh3sip6OrlusEx+Xfl9AYbZIbshHBJeN
4KhPqoN59nJnbTZB9IiROX6MTER4BdSgY4Q2r/Td5m2MCuNYVGay1tQ6H51exi/9NesAQ1UT3mVV
8HM6dK9h/dmbwfc5LwHgipqZaNUgaS3GR5si9i2UnXkEMvmmEvNoZaS84YchdypDTcoELT7Rn3jj
dJY9/+O35O+tVMuCJjzlS493Bcvg37mNdClEGPdcywYA+weaWl9uZvwmzoy0dWMZFlgoFXpHMxuw
wfX85/9xGhTCdC1fcSWKvy5gLD1GXGgmzoHIf41NTWUPO74HFwTf7eSGUDs8OXf7ohL/H6zJP8d/
+VmUU83H1/63N+JWyq9f0ed//S9/+f9/fYoTd/my/irWn+3nX55sCKRop6fuq57uXzAd2v9l4l2+
8//1i//09ee3vEzl17/+88+iy5ls3L90VOT/3o0sFlPv/9nAfC+y//Hf8+jzP/zIvxmYhf83nMnC
ZiiFO9jEf/fP/zR8LdZmYf4NhxXeNVwRtmM6Cl9eXtRt+K//LBVfchzXWywT0jIXTyo3+J8v2X9z
8U8oWIVs7wA2nP+Uf5kB9l/tQJ6QAuucia3KdSSv8e8ddGHDcCeAabNKOOutm07Fe0yOj9x+zqGq
snOWWBtfI70kN5o8imA4qcq9BHNCesfUVztCC3AO48xqVFJxbAsx1XDsdRhjipgu8mBMyPKdqiF5
mnyvLCF/rmLGXmWB9y1SdOTy8Q1lI4MlRTBTluyllKghxDfbs4gyyR2TKeHPSeCRmMcUkopIj366
eFs4NTLWbzau6UJ5Sho4/lZ4QWqcMifuCxQ0/osYCMjJHKJiA/SiAzqOTKT3zKvkxbCKNc0ycz1S
/BmU5+s+G4hNcnsaIp5HByFgjM7ZMQGBWddNu80JJ2UVio6BGcI97MUziQ9oCAFebuhoIb1u9uXY
uMjwWlTejXnXdowoWyMackEkdfQdmCM/+6P1RrwKUPSR3RQLiL+xk95a2TV+GL1wXjvoHO5sM9Iy
mdfasYMLmG+YkwJtpkrhvYztU2kU+xxO1ZocqLuVY0AvhhllGYl75HBtbBtbR+jWG0HMwWXeRrkP
p65JMBZXCIEi8nUMhBac39Zdo95KjM3bzCVZlyBMDIZoR8NgOpuKWfBwDOmRnacivVmRImt2Ysjk
5tcxrH9YERcPbli9DRr53NXSpN/vMTKe+o9W/HYKv8BM1j0lBYVMJKd9xMSgRdlRtxYT8IEB2zxC
vfammVnQjzFpNeDedN74/ldSM0V2hhKJlvcxljb8CJHajF+7s6wr5G5I0R6m0nyvAB/uo5yO+iRL
/IowlVuhiL0e7QPMObkaTGIWRIbEZjTsg+nC3G1tX28L2DNShvsomS8xcrqdqstPLRUHRqa++5ZN
LGmSz0nrZk9/gIqZKBUV0D8xu1+iS2DSyjZfVR3tHXR3Z9vChmD5FyUpk7I8wDE8yjVuI7R0NIUR
cLbkVAccPXt1HzKCmgP8+CLtvXXTmu9d5IVwUQibM3D1rn3HDGCNr/UoSPcyPYQqcliHrmOtAY/x
PpXtQwpZewWG76h7aFY20GSyZPJ1XwJc6UJrR9oPvEzw1dTViENDGOlrK0zwUXc1BOkg23LKg0eP
c8AE4UjWyBJNSOxxPAixmbr+XXQdPrtOkmpf/SDRFmm8qaDOO+lnn4PLMAi8WUp9rBsSzpflbv1k
flddY61qD69DU9tvZmOzjnivyRwKDv/ta8k7GxpQ1McSeW6QRrdxqL4H5bthjR+DibBFF49Qa2lU
TWQxpjlpVhEDVTeNrDVYTUgfxktKY3KVvlfMTk8D8rQuKSX2yzTa6+ypIkiuzu1vAQGciAUbjLFc
2BOtMDInhmudEfLJ/OihLwzrXKvPJnbbXRah6QMyA6samwI+gNem9E8dEaYY1uZDgtLDsOxgW9CG
KVGknqn03bY4zgI6OVTXU0TYYRyrP25VWnETkKWiXDG3exkMSNUpgYBA0eU7BRSBoPpGeo27jw0S
R0rE90zbWfNodqzqalH5eNaWUyXN8B7pFQMjz0bi3HjOT5hRfNAkD64cPTwNoF4A4oTbMlrMFhgh
VkEPy9lvoRSOdn+3krmHpYcQs03NbxEjlZWFXXoF0ZUow2S6mG31WcpoBFI9vWSJOa6Hlpo/DFFr
DFZ0cmJyETnOoA1EP5eohlkGAcMl0MUtmREw2BUOUB3CD6I5QI+b+D+fS0p6aLEr8yfKMHnMbCRe
WeSvJfkZayz0yT7LXmbmBre8S99TO7mM3UxTXoW/3LqEsOvjkg6089D5KU1HZrIbkWOkDxTQ/D6D
gUu641NTWuJK8Pe6bqDbqSHzNxJl5VNB3uUWMla0lvjZWROzYhP3KLmA5IcanWQ44TVVdpZtpow3
MPazaFd4ekKwYT6HOAzjoCRMpNTmuTW8J1ryWDjFaOyMqvnh1IV7TVQAC6fv3mcmEisNFY9YCciO
1Wy9220id15YvAWWrs9990IPPmZwO69Va+p10kkEfRGvqXWwtlhDOB1lz8nXdQk2AhraXEjj4LrL
CaRzrLy74bUj2ns44WV5DSs7e6lywwMEV+7QAwias3W5JZO9o7wWNNG4qtuMrcfWiTpP2fxiKsBK
1kzPrg6AFFPmXu2qfkts8NykuA7cl/Oz54T93pcDyNfmzcxjfUwtcMHeGF5dRYRAnT5Z5KfhCZrm
PTFDDHzd+MNx0OkipzJuQqOSU/Yl6l1JSrj8GCJN33cqjxgE/J3eAJqywUAmzavNqNFMxuiK/Hqd
mlfOruWntLF2pyS2Y6za0tG3100JNH+sZnJBMXvuMXGLqlJbaffZq5yzs4l3D/DdA4iGLpWHHCHM
cXR/BuEItpgSZT+1CUkx9QjXqTahp5Hmc2+5z/dGTXez7aYDjXlnW3tVfjdFWIB2dcfvHn7EbiRA
t5r7T+2NcuWAYLyILiAc1VqETI2q13Eddu9F7TzRknROhSmtDXXJtc91/JaTqgCjc5NjcDlLaceX
0Cbdyxrf/BS1qkqOTNKq92aCbcWoY1+GdMZa2w5vlRleSvjUj6iLQd21Dt3x5WmTodxKDUSgTWEW
l3ZJ+0YJg7CtiMP1UGaIfwK73CiXRcvvtX8aYDrt2PU//GUOAA5hOP/5L1nYG9Ox+fhMnIJYRHmv
VCDkLs91cgm9H+NCTUhaQLdIGzbJMhmMBLyT3AjNLS01bNtx1WMvZacAjrMlgIenBN0wiKkUstbw
SCo2YrcZeNdDUAxySw6LvNABNCPhYIpCwWNk2Qd1ZfCEE7lpomhll83j3LTygA5mSgx97WVR7ImB
Jw6O3uYWxfzepVHNDN8vAG+iduwNJE9pVy1zEQSMlHmHavZ3wgdh7Nr+W1UvcR3eLpZoUORk0d0F
ABYUz+2Yk+EttrmRvmasWg+RTShrJYS5Emi6pbWo1hn+C895V8J/DLQk9FD2H5X7bin3Jio89Mz2
bTqGwWI/kA3Hv8RxXzo9MhhKW6QVyqVh/ug730ejYo5UbXIrhycwrZmXw4MDRicf5ppilvgUi9Xc
ozQr4fHH4DMDTQIVmh+0ShazZqtFFoypZeHBb/0WU0yuqjfm+NyMjvVlop3extW89zPRbjM7+J8s
nddS5NoVhp9IVcrhtiW1OkegG25UNAzKOevp/emUL1y2j8cDNNLea/2R0JqItBXjbci/Q+QMgxkc
OywEeAH7Q18lu8lMdwxyB59Cg5LkmQzGP+2GTVYRGVw1G42zHQnpBqOsVwvPLtQ3DeF4+Yw8KhHg
UDWCySoyhjEM9WF7NARSWyfy8TmK+Mn0/sKriOYnxWc3zTMZ20VueR3D8Bz+6BXQDh4qDXKkXrrT
2tSRYKQGGH0iD+2QoswlSJUw7dK6oPPHWtNjRcltfSwckZjSaCB3Zke30kYSOkfG4b8cnGouu2Qs
8+GQYEnAkt1GhaPq40ZYskPBehPSxDiPHCTCqxJxYENdc0dSqt6ZIslqIPwxsFhkqeFKbhUgt+ZH
G39iShM0Oo96pvaZSUO0ghUmddqELjqWnrhaNcxjdcwTOOCoG2GIsGJlmBoXN6wl90diwVeFRA9X
OdtUrn+N8jWz2Dd8An/cAfBe0lukkniam+LdIAiCwTbZiMX7lGPcp8Vsbgl+lN1eI2JOoJVkgi2D
ejkEGvnBSUEfOJ8kbjRVBsHEaBbD8FQo6KoaHNOwPvSRROdYucZpJLjk86BtwSOod7OXZllBCyVl
XjANdqNZO36JGKFpxFGZAcWfii9Ri+FJhTbr5N9WEXkRnrk8OQmdDZrcoa6SOKOVlY4vRKiJcYbc
7ArIf17MaabwOOidkdlmpp2pkrywKzxdI1JolEO3lzW7bsnApMQ2VGN/o8j0ai4TNxoLPuZk3Eks
DYLV0lDb0bCWYe/VqA7GNhsSwBwizLYm9Lwms1WVTAejJRM9fNSddZfV+WqgqiKSE/Ug8TZdZR4j
jOvhWTPgPiud0H7O1y3yjvcZ0fZKpX14VTXyPWRRRFForGJtukEBvCwfiNZPTKIjR58f08yAq3Bh
loRbhvOIshSFEnRDeRWH6WvAprUq1fQqtNkNZQjKsbD60CcGro7pGA111hNHD1WAr7LBKCLQPx+Y
9Pwl3TkVYS4xUE2d/B1r9ZGw0Gdc2AH3CUo+JXS7Sn7SIGI+yR5ZToQZVSESdmlCNibI6VdZiU9Z
yOB10R9TVdyStTvC5fNMm1iRC1Is+crnDFtTXsqDjZQhslU8RhEqBEKgScPIsz+WPR42XsN4bGUv
9ZUfv650jx7V37rRPX15zJBMkG5hcX1hKaaOOAkpmPPfg8jC7aaXrzZr2u0YZn9hhZ2e0C/sQJXE
Zia6MYjuVhU03aZXmsNELw5ymzGhTfnH2AjKjr5GJ5HKTdhqwnVKLFhkATI/huIEr+Z71OWwXo2T
Jm+wGfMqcsLL/YUaJEwJZe6AqCZulSU5mewGVr1cW48wK7zhdpbSlpOMBOwzQoJ+6MmNfg3HaEcA
fF+9JlFyzQyOmcoo1nlObrCfyywc5IuG8CqMiCfSxEx6bloMEzQz+rp6lgbwuUzLhDVxka2NIhqf
VjhODh5EtmKNYJmq2o1Ffg55Kdv4SRWWnWNtwz1NalYAxV7zbiXKw6K+x4fuNX2I+BBX25aGdX5S
yjp4G6TvsD110d4ckAS4M/+7Vd5HdvLBgqOm7qxUz0lwL8rbaOxqnaDchNU1+tdU3+P0G4xXXDR1
d5nGXTI9+3xbvRfj1TcPkrVuaHTQ9XtDGcMYfNXzn2zgHm+p580MbCwBubXsFcI+YFsp9drGSu8U
XJfR8BljYarPQvudTue+SVeQhLRxvsXdxBa8QZXPjxgmNy37KnQuwo5k/NNaDp79/Ai7bYuwP30K
0RvwBDs/cb0UfQsIoyv/NnFmk8/FV0aATNmKnP0LFyEnW+h/VULFW5A8Mv/eoc2uEdMoA8Uq1jM2
j1qxMaOPxP/zhZ+AMINBfgxgNwYW3pHbh1eFrONtPXjV7CrTOkUA24wv9GGrnM+7qB7auBOGaxm7
JY5x1bXanWZC4T3V/JEatyNxm2gvI3VPmIHiU56SWwjvyYYYPpYxJUQxTzwQMtpNaGwMGETNTDCd
n6bZ1YJ9RvS7ONxSzEFB/IxkcdWTIYsdetUOa1GiifjYCJyh3Okbgkbn+C2idQuvQjeoq7VI6JlA
PVivfGcE8JOAZFvDXy8e6pFOWms76jepatBNgBn535Wy65Q11/tYeb22a7QEAQaujhLVc+kFEtJ+
aFrNWgndZfHggL8gUtx101fQfddNxeWFylm6mtYpqT4mhffYhA4x90F0hLkzu0PT/kbymbZ5SpxI
7sDMV9v4T2uOmHzfYz1SRzaJ0qT687vViK6wXoiwVzIOwUGnM/dZxe8joNLyMn+G0q0xiZyVSIqI
olU0XTV1kzMZgYsQAUxX5GcaHPz05UeXjBmpIGWhrF7G6Oa55ysHXLWz/MRKS2LtaSq3OXoVyBQY
6rJ5iRn+WldNTmQYSP7VTyawe7hxFTbNRizN6QhcpAiXoNG2JTGgtISM8k7Q9qRCNwMHF9ELeLb3
hDz5icf5qROhFq+Uo895m3kdu8NsPKlMjxl7Va8I/mnAPKLwJ5AgkemXTtmX+ZqYQEv9ldTfGMae
fRadqRfDf9II3q8jYeMPO6P/zZKTXHbboDOvpE44dX1POnJV0NVqIbL6xyDcyuFPN/2dP6Cg785N
cGc1r5IIQ260YnE1GVR8VaC2iWym6qtXtnJ7hulX0O0KyNKyjAFQ+xaj3Ug6cyCIVP+Ydml5Zgxf
S5kpyvwgomi2uCDJtLWOJLFC8tT+nT+TBWdpvGjdDqU6N7uFg78rPrpoy5XtD0CR3GRahAyLn9Gq
cN8yWPXiaQjerOwdxRpfQ7ROhoHz58ugNUdgzJOAEMz8R67uUuxF2bVgZB/Ni1HcGgV5jUoJgu8g
qLGqZJMn/aYqH0Rp8pIFBQs8PO2bTLWp8BeO/6x2L8iO0OB9AgFw2unihw9BueXq7b81sHP09K+x
LhNzZnTR+mtdHkbrQNiFJXyIE7P6v8q4Suql7bbTtBkV26K7nvia8JqSBx3672l1zJudAG69N/T3
ZDonKQZglyJpKhc04nkVfBdkOvv6rpyfQXKd5ZOfnYZ4B4I65HuZ/a/MGnylHGEHcfjUA665Da7Q
IfvuZSqfKAJBky/nzkAwerrmU+YApKpxxZc2UXOOSBEUM1zl6kGik7Hm/7tFX0JFjJCg7L3VsoBP
ytWpiiyj7666ZMT/8vGp0rXIPNzp7dEKD8TLWEs/8SWpTm2HReUqdjeEbSZtv9DDE4aGQz9chOiz
heKIf+KqZoS5qsplKq8PDWwo4ByW1qNv02xeBp9df+WgmbJzap76+JlF+3m6VeqjKQ9CsR1akiDt
YSb7+10fDgWXWA80lf0zgttk3TljsmyXyUcp3Lf+VS2/Cw3fF4mPy/EaWAx5OFmAnWg/vJdCcM/5
tJvql7CN5UC2nLBgJRQfZvdC6UYR2j993qa81ATBC3TW5TYTqa+dCAUvdfyrzlKPSFwG3V2BB0Zh
zy08xXaKSXd55RJxtQ7fvVXfAxfLn5rgKf4gKHTNJ0U2v9+ds9Gk8SZ1M8qk8unfEDy64IzoNZO2
+M9A84l8lj1gSypwWPz4GDPimXqgjpyco54fKia2r1irnA6eGOB/9sqIyNODpNwsLP6K8BWhXmVo
FmKQ7/HRJTvcq3r1U43vc/OWRlSwnpuYrSdZwKXVoGlEMnHcDJSkTL9IkMX8Rw3eouzRht2KyDUK
aUbHr068I8DwBf2njTNh4BrPpLCReJNgYz5yKSvDmueHTH53CMhjCPZ86kTDKzXCuHeJHT+3vrv2
hgAKhWESEht74/7ik2kpY8/u/FbIlLdlaaOGO7NHFLZfnEXRzyAx84DbWdOrLYkg537m3pyqd3O8
LhJvpnF+JH4Fc+FO/T0l40HAxa4es2CnTjsfK/HwyrhyeH5pfhj+YtSQM3E0PtvYZhIemvJPCjDI
7eheKmvXwFEnrY32T2NjldpTm7yNCnb3/Dnv6+beWR+q4RY4W8oBO9uEBvzMSxdkG8Xc+OK2mL57
c5PKB+KqE3PdzS8I7FH4Sc2zYR1Vfc8XpRCPPnmecG36wTzJJ0uaiJ/j7j0HJdcYoXoCf+kdeyuI
GhM7cZw8rwqwX01x7qc/oZ+WduiUOU5T6zUn77F2iJeX2/By3UPHg90HvIN/0K9Hgvop64oQGnC9
JvmdeUMRX8O4S9HY8kCInklLWhKKdk8lQxW9ly5lyeqMMWna8F9lOg0o6mJRPQQBsL+JW5BXPaEy
KqKjgnrHDdLsqT/WKj6Wu5Dptg4kW6e6SwGfjZrfZQInzfBg4RTFVM2f4/dlEC9o9JcGs0VMk2S/
TfBQjK5ofuu1AJ11N/wDq3kSezOD82CnBoWNq8rg2yLTvMt+euF9wHQnldcsxHG3tvBODcRIadlt
GN1aOqigPJI3iMdqpLlEeEyUoPBrIUo3LjfcfnF/6Uq4oVFcG9WOLGZ098PwTn+L3vyI6aZttwRU
6YENCQKchlpyIOJS5NqJ/mkGBhgs1boHOchTrPhvabGhopb9NhW9qGYO4UIU8vXY/M0hffVIeClW
ZDEMOdcKl7LuUHOV5tnH7xzFSY6Fy6fP7dgZDq+sTNGGhDIGJyJlbtvOHzcd8xsgWod8n30WE6jn
z1t/PprmCW7RaDY1j7h4a6iHNnrSsESn8xbAGf+5x9+VV0erhVrUnxVeYfkYEniln40UQ98WS2KS
uBkB+j7FAfmxG49j8lkbxipUN2KPX9EFtl9F8SVW3mMyIpx62os704uJlkg56O+l9sqih17fiuIi
kuFBJK/oKuauGLd8I9QhTsbe0G4zk4IMpI3sbG3Q+9aljtm/dcKm0U7QD6uWHWQGrIrjzyG5xM29
kNd8STYzlPL7XsDt6yidp/IeEEEd3BTjuyHnJEPYsyYD1JWzbU6tCPVCCvAC3RkDDRVs9MN8HsdH
lt7l7ltTyFr4amEFE0IYOtK3aO0KL7V+aJpDKjvynzLfY/1DLGCrROCb+K8Sbao2fPVNry5jdEvT
d788me2hqOl9WVVI6zFZkMJyMNtbNJ979R/VJ4TRh9Vu6l1duqvSbxzfo+5obhFlxB7yP4eqb2tV
sV44U3hsD76OrfazFPAGHHzxmBK2MHs1lWHDH6JX+CZOalpHLdEG+Rozd2TuQtoUfbtYPAmV9NIP
qaRhY9VG63L8YHWTiYrB/ErZRB6BTAv8tWT3YyL9GPm3QXmQ52+zNNmq+MQkz59wAHugB8nGRxR8
iqxTwXoWSbsAOtZ6tPHBqh1KDWPtbA79CnIEN+PTKulCeI7ZAWEqybdpes1UiVf5x+CEjISPtngq
wszc+lUpHs85SYd1fq7iZyAcWloLu+RPsY6ITSn467sdWIVPTyl+Pv0cLOh8gCQYy3aIF1nj58LZ
oLBPbdJxnQ6e3B18cOH5qzP4jDg9Kc5VxIspHclVEsrtMn81iocSmVUFXH8+E4/F39k7PQ2fPsaD
JXcOfmKtt+tmPDK6a/cJLkQidK4nHYhFCom/Vbm1CuLaPTrhI5LK1YhCiY6y1eT/Q/ELqPfGB54N
b3LAa0ixmUOqwkqtELOxGZf/RkLLqIK0U+kiywgwj4X6NhReQD60isZ0n+z88U1bsgxFEnauDfnL
MHmBfhKzD0uniy/ape3dDP4yCJ48xo47fE6Ax/FwSbRThxc/azRyMYlqS0mOisGPCjTu4SpNz0m+
g24P9kC7hCIQ7/PZhr79pUXvE6ux7AWWXVHd1O4r80Bw2WrJaFK4O3DdcrwDXGAinp+c/yDY3quw
YaMmt7GLZHlMuLLpcyCh5tenOzCmWGeQd3N1FDiOgktYHPllqcFmptQzfBNyiNaea+ZfRw0Ezx1g
wTl0WK97lzpHjKwOHsWUmTh1OX8n+9UAiPZrSP/4URobxd/py0RLH5z1ntEBRXk1uSqY9CpUVh/M
I0VxK7WjGO1b4bkCF4d0Py7A9S4Wbwa+ZrBoPAu/LKqosq/ZwAge/olcAmNRu+mQH6we3Fanm+TA
LUru5kx2THPKxXeL4AXXsjMoVTG5IPgFjsFTuJbWoitWPwEYE8SGje53lfTffUeJVQoYD8TZjo/c
P2rjXSs/NezbHegR21d8ybrPoJ/cTPhtIqRi2MmN6QCRtzw6deQMxj41QPjky7IBYbcLMQ9F1nNJ
JSrIOkooLbEcq9op8aeYXszBlYeX5r8iUwQEzh2kVis0916vw33ENyP/kqtT77xI3qo1lw15fFY+
rn3P0A/TeJCKdxlgpSGjZWu+i8KBRDzSQhmhmURLdTubbxS7F8V3rVFGgxf4JOhnEnZWjUTc3CYK
8CSAXGN75AtoPnU25HtUfL6bVt/J/bVs/+LmTzFIA7CAIzJ8inDVNetGvp/DR4HncPid+FU03MAi
ITSBm9TfjbwtYRZGPoqNJH2Y8+cMAMYU4UgaiHH2KRhbwqGC9FHyHBQy0RjURpGF8N8ADT0IFGbl
u6XyBVxMVemEDgqXCH6033gjpzfeDlIw2wTdtsJbzyuyMFG/KXi05e+k8q2d17w8IUOMcUl1GunD
+2Q8BGtbrF5kTGVEuxlvWvSBIzvRd4V65HxLlY+wwenyVdZs+3tN35gVO8/GND9x7Nhh59Scn5IP
qAFMJ99NgeVbvIqYpq3NTHU5hbtLTIUKekOrAucoQ6R/JikOb9+GIyvnHo1omsnbgaPoArMrcwcQ
kEPci/xuqF/alG74SMVxV5Y7jYmjdwhJ5aWK8ALn5gZDiZ4+ANcm7U2aD3W5IzJtKWBtIS96auwK
h/BAEEneV+kH7GRcN4R0oojq3KHYBSJ1LbRgp2sdEp+xkpNee1Pq4+CD95d8t7LDAaEI6+pPjHc1
hQDQ8pVnpK9e+DeR+KWOtwAHnwEnoFCoJVPlRdqCOn1pXCrlSQm8utwwvgIFxRVhg7VXN0DQEHUI
iNkcKvnsy56h/WuUTzG75/Uxjd+LiXgc7kdHH37q5NX6qRuFZ/ZHnVehtjXZIXM/XInvcbVhLBWs
TUP9qn8dsk0TPulfCPR1GH9bOMfL0JOG9dkkKD5FOf8W4e6N0Oo+l/fegnTkqDqyaDd/uu4kk23p
buDvO+KT8vww1m5PREbgpTLWBAgdmGs5zry620m9By4ngkH6eDlIgl7PJLd3W7+4mvp7Ie7p7FQd
4VZBtTdfSmw4YaquJY4lYcXPxTNo7QpjX4VHLRA3mUF/t/KZp++imwAhq3t1elukUv/lSy2HOKmR
dIbU5k4cjgBOUET7nHMkyR882A2unZI9r7U2ffoezncr+SISTq/2jXL++xDNz5irRVkw0faiju5Y
b2oW5awCmgf6orxL/agmZS2kvi34oJLzV2q8NCPBFHbVrUtbATL298F3YzbZLU9nYx3G8SNcok4z
7IDjVQ3+dYjABrLmFETCHV+EFxVnFCz32eDjjFaXUGOonjgK27vMnFKbt3G+z+vZUasf3G20p61J
h1kPljOsmJDwGRkhlh4DsT2VQjW0iiyZKwEmbFR+ye0JpG1Weop6qPQ1qkRcMClTmF/5dkvCf0p3
x7gC44VUiFxU9ezITYyEhWEtwftu09PL790dnbi6GvIvIRP2SKaI3YEHoCLq39Ll5YZaaOm3FjAS
kaZL1Ix0Kad7ILqD+6rEDVm4APIg+12NDI7dX14rNFXEm0Ehy84mBjK/dOz94ksYPvrsmC4ggJ4i
hnuTCNIPeU5tuGJHDU0uHI1bmlzEkK7e8Ssa0RuW0A7xw7IJ/JfPy4+TsIEQrYOqI9NPErm+IIiO
aOwb6dgsFzrhOzLGTouEycZFZX0osl3z3dfHsnvyUek9OL66kwlRsMxbWlKiuIETI6OPt8OO2nat
kNZMcl82PdVwj2hLYA3iy/cia/VKH4il/Z2Fe1efTe1bS9xo+hfQYDXMv+qa+I/ullmvTPg26po/
z65h8xubtuQ2tnt1q/eE9PGJWuDXbNuu5m8HV1oJPrB1D/Kl/knjPRneA+Bby9wyY03ylY+hSl0L
Fytrer/RFixf+hZ4JPK0stvyrkDEJC72cm+J9tgq65gNhKYQDE2xXTRYurf8yozoFlSnRj6KwRMS
YIg2oK3tEt1CDso+YDfo672arzOb1jG21Y2/ZWJkYediFLlNiCgfY39xPNv0qaKIvY/BK/Ahqiv4
W+GkEi8dte8hTisrIicg7ewGSLrKLj3iM2qr6AZk+yEgDJA5CgS7ZUzX+/fKJUaA0hCv2KjFrvQG
ZC/eYF2V6Y2OxpVWYxeQbiLgRUr0J+U9yuARKAa6V8onZLEgINTDIO/6xHlDOpfHfa/YJiUdhUMo
HwQ1nCnlLDE7+MYXDqb2tDqa6oj1flPLSzg9ltOnT97lYq96gytmXmQ8yWZajYlJzl7CE1Ahin0b
16Dh1bV0VNAqjxgQIoC9aO0TmLvTfYFcDO4Q41NHuW9QesRYrhEexYyKWm07GOzpq7i3obXrsyW7
eblNEjD2WzG+qcIfmaG+/6FMB0Xf6R1Syb+pPUrFjx59KdIEcACM8kjTP7yw1JH8y7EZXIAcAOAs
7chOyYwRjGBUnxFl5wqHXf8PGegqtCPkwB50Bt954ZINH18tEBYKaNyyC3FOqwSf/4EcMesL6nkQ
0dytllLw3ezAuEfHziX2tryI8HOS14rELGyI0rI7cJ2coEk7gAQdWZVz/ydo/onjeyWeJ+U6ZoJL
QCNIb8NqWcBsXTT9lfCfMm0PwGEPw6GG32xYeFG3OMCjQHe2RRTLJvsshCO9pmq6Tsn5q0nKjsu/
muinPlh3+bPOb9r4nOuz365NZAiK9CsjdhKqDZBwzsEet9tGfatopwyLq4hMMIT2IUV3Lxi1x8no
EL8x2SGaUoCAg1pcuJEpsGQdOpuMyNvQK0l46UR6z+FjeouRPj9GxYY+trE4knDLgYx2IiBJqbyb
NGCsQy/Ase1E6+HX+je6xENgUCLzRMEF3nRPagt81FKDJ+aXXvkRSfObqRKK8oucuZyi3bfJFdYD
/dcyeTk18UmN7DQAZLPwkrpna9yYeGuWkdClqoQlFETjJghOKK0l80Nnq1d6RinNU/gFtuUh0T3F
FuG1SVZzeEEI0qqap1++EfZcXHQGFaoHpIIY6GEBjBO7HhoyHP9F2jGItgjjeSIkZKfdHs3vKjMu
FipmntT+zlFLfbcjWWeTl9bfQM2AtF/i/NZhZDQtO1Vdgi8kvnx6L2HhG8g49RMKCOkNyeWcYwRb
00aucFZF21IgmI9KuxX7SnvMla1OvYFj4T5eC3gpTSFni8h9zhLGhlGg8Fi8j06zwmIfoznzwm2W
b8FTvAbLZLPHKdYqP2r9WpRmIqqlruM2ovZWHCkvhfE0OXaCh45fafnGJdCTYcF+4fxCQh7LZX7O
OsegB7Rl1w24agR0hfGSzlTXuyqfXZkwkSZ4y6SvJpHWII3oMDaS8UqJSx5uSXkoVU8tvko8Tep4
6lTXjw6VdRwGNEG3BTARM2vbZqzWWEDl6r3Onlm+ADjrul73LEvZozN+O+On7F+i7PTyEZWjjZ2o
cWiZTh0+RVAch6Y1chu92DGdLiF1BfGGziPAYxv9qOFH1l1vjz6+qjgSEk9yIpdRB8uqqye7lB6e
DN/bwChNW2ph3luFQgJjw9KTkcJ9MoH3cm47KjhWihLZ+PVYOX8SWF7UWRy4BNn1/BI0LMJcBXXG
P8RCDdajmja6aA9hK7QRcgTO386Olt+QgfOU+oJzVbbuBJ0iwXOX0j2PwNZ3Glx7vSE5JchO8B2A
1T3LAl90qbBeQdZhqobCEcgVeEY3gzaDAfijcUUb/fcqAHQkNSC6GgwXfj84MgaGiGlPjDyrXctc
hegghkOm4rRNL6SE9bMXGtgxeeVO/lqBBDnInxUzYoj20UBHn76WzB6O99jhOvAk6xOkAOL8zU9/
xDE6jPj+p/wmtBeQLzsKyFeaoL4Zbrkmzes4UQuApaNbTbYk/ertR+xx+ranuiKoGVnLSiVlPlmX
KTiu9qoCnMM205b/qoT93J4l6yPP2JlkDg1x75Ob2JT3ylfBVZYUGTsEfRDXZe2lCEPigYGEZAtc
m2WLhU15psY/owENFC8tWzh+YfqOQYyzF4DzKv4iJwTxxcrg1ahzRxo2GNkaBNvWrHkFwvqa3qCM
czXkm6r5lw6OPk38aKrKZW+T71v4f2qgoL7fDNaxmxZWjIMl60g4RmVsesRDkBWKn3H2VL1CjaPY
gwe0tuA84b//XzDyB5qgeKt76XD/70KFbMzpjfkpec6K8UcpCcCXdma+L61twEPc/YXqV7CC6jiz
oi9NOx7fdHXMVmcLmVQdfEvGO1JINGukhwT8gotNUOV8QNQ0dyQ5s8fLwpcW7wzL5udhA+vvZFg5
UcoFEN3IHUjmM20MEM/PLP0Hju0IyDXgyaH1CX5Wz0p/lS4icwToF/pEInzXgeJlS34qn2pQ/LHF
jhANy4UygGnbdCghaeBtwPqdxdaKbglD1Llft0RSIXAl2BldMz624J9JoJ5N6h0Y57Qf2bt5mgoe
XIau3sicbPU1/cfVoaxJ4GoJttvOIGVC2roCcbwpXqD2ZUCDh3bgWuZukWimCLNGA85tPToBSCsp
of2H1JbnKLGIoiC4qvgeygfqFuo/yTND5co1qDkdVdFkgMEObUKuGb0ENcVlgzjdEQzWX9DImfTI
4NnJ12j6qopfGftKN37p4luNTQlE33D0+sTU5ue3CJ60RxSwgG86CY85m52YfwcCdTUoj6ODjnc3
++ulzwnFcRb4NkIzQOu/hkcgsylCrb4CVhjgLFl8kgDpavMeBSvyRIVPGAE/oB2xOrZISPUAJpP2
D+13qh4yEdFNth0IBj8N5YeuIFNryLstf7Eo1ZanhTD7xwH1Cb/rqltDeQSSo2afpXmKPNUxjLdx
Y2599S7kTznaza2OpLchVg8KT0MidRs5l1mFCjwwwPB2xHvfXTFvLoiwHCFX5c7Rgg+Z8nYh/Omz
bwMCgtIiR0izVVq88UlxIi+IG0m/xi6ajrL2RhCkUp7T6b781ZbwZYIw5MiBRpOudg4+IbxZZexM
LHUSybRYS/UbW4KK1XhJiN2jjtSlpwq9DkWaBH9j9PmCqaXsbI00j2Ujow1JE7ctEhANhCjt6DWn
2M9BIlwrvqtwRKEwKNqv2geggzoqwns0uLO8IZDWWvCOCTp4TNY5CBZhKzix3o38g11glcUu4ZPj
JqH0ykPUDi/FSEzaq11hSUHSjGzVE3f5doCOt2gBvlmhQZcCcQjhd4eq8auBoSbey06V3w6FmBF+
zWziUz8zRD7mJ+Rhkzwkfr8YjRBopyELzl4QyOAs1hgEZmTkUVqcC3oI6ubUj6+JdZpaH/Yjhe/U
5TIMj1QRIAOFicrhLKEWJlIle3KX9/y/+vGnR3KyLEJpKYDkgi/rl+Xq1vrTF/I4FYY8GV5J/REU
l0Y8s3yryW9IkrAYf4TzjV1fCj/HmiJBbkzgC/K/4CQpbVlhA1q1fgMLR8wUWvsNlRywdTt2OLhs
IVwnXOINRwJ3a9WT3jr8aHXvLN8LACv6NQnYsjsvcz3RLTh0Fk6oC44FYl7qOck3uQUylWDRSuJk
7t9h2Or5gNkPBayweQFXakwEvImDSp/MQC3MUrIA8xKKaM5ck+4cE8GrJzQnqeREv6omyRlUKubt
t+n0hAut+B493kQJ8DnU3uHiRXpESwbN7EQjUDWJxDp++uMup7ZIObbT2WdWbJ6ieBGFc87yl5Md
m+46BwWzde5telPKq9xt/Fmxi2rbAvHA5q7i2mv4KeE/FqzJJVsFljTDbYS7iXxoQ/6Ts3tN+tZn
JdxQRhHdCNN7S9qM4/KNzm0d+TKUA3AHtaVVdaLKR4V2KsicRnIvkyyuiMwhMwVG9+V8VDNv2e1C
ooIcLDvRvowvhuqkk2cUxO1VTPL1Xqi2VebJyQbPCoNQRQQPgX90tC/vnTQC/zwMndi2u4FkNUlk
248+FPOzi5SVASR5CUw3daARAxuCaJmh0J2NyVeCSsUZ11W0TZcX6ylFJ9IC3Gp2OpxldrTulbVl
HgLpJYS/rXyPDNYbYuC+BIxyBA6DKJjIiHwwX9QMAdBe9Rki4OGICIgy/yIGrQPCcDRrXXhdCZ+1
bvIzVWjEuYBxLxwGdonlKUOLBebhpiVvybYAKSn3Qnqoe8/I1gkMclL/sgXyxMcWj3v0g0ssDNed
dZY0RHD01jCaFDdT8yhMoJwM+ENkzHawzloq2TebyQrXg/oYIJjIDovf4vHQjrdC32T6AeQInolo
LZ6o2dpixqFmZF7r8jXmn88Ep+odvejJJlHZ2OND22y62R7Xk8v3gt6+cflt83ma29HaCq8SKHvc
tf0HUzyKmxVBYMsgnGBoVzk7rCkFA2aAn2RbNzOynsF5OB/gY4U1rDS2En4FI5Y0c3nqcxagntGl
jbGA2gEJN9re4gDRcE194yvDiLvrMtR0ArCGOZDUjD5xPUqg2/MfOaFw/5F1q3m9agpjLUawmKaL
6MS3GK/7TTz+a6603DCkqzbbNtF0sbXoOZLRJeZ9MiYgRF7majfDrrCNQTGhs7rPtBiCiRpA+lJ2
ZGLAauhFucHTgIgVgmtgvXThYuKDJHz51WvSP6dSZ9XpXMOXV20D2IaI5iNh4ivD/9LukSewRc6g
Q5gwV6K0n3h8J23cqJW66vtfQ8TadOBwxXrDi9tv9G2veRXzyUr3JjLl79bEBpCf9Gg7wb5Knynz
GbS1wuZBfy6q8K9UOIeywjW4DrMDpjFFfk9Yhuab0v+SlOn9j6Tz2I0cyaLoFxGgN9v03htJGyKl
lOi959f3iWpgFjM9jSopk4x471qD2E6BFMfbHiCiQ4OpBUjbC7b7CoiZ7x+RnR99lRqom7MfaPby
6O0I8Gv17ZPwKQoYUTD1wm02yYIfMsXAWcmZmDlzM9xWDBFQdGKvyEfmHwaSmBSgFj6bpPNqk2Qn
p/wQA1f+5oirg8/QYsm22f1SXnkBw/czTmFojb4jiChnHYEp90KEZQVGCF491jvURHL1VYkvxVp+
B9GSewhF19ww1kh4anxu/aZySaZlmC3dUyhBWkxINcfC8627vwgkcFFa0JgHlODiAheQ9fTbgiWR
i3DyD0GrdqX5XRLJWqifWgQ5vobu6toLj0ETL4evtLlWyUFGmtpltBgTS4+Gv+LghJgijQO8Z+rO
fH+nTuntCS+COKIajFQlUOZTRvMIESTsXaivvlVyMeOpagolDkWiRVMsq4jLkdEsyBfIX2SEEI6r
oVsC6RbHXEWdNrQaKKfwP894mRVj5djvQN746dmtvwbYdpH/Kt4T2rkZGcuCRLH4h3YZyF/kxlfS
excD3+MCtGKYoB/QqFDK50ZwSqfYZcdZp96pF1ITmDVxnI4gQHUlhCFs7EP9FcB4kAMzbgThnbmP
nAdCGlBP5fCq/O68Nqjo5j2oDxyC32wIDy0yvqoZVSe6depR9xj8TN2tQT/iPHhhK/Kz3VWhXYL8
BkqFDciSOMBirKintL+pHH1+fbf112sAqvanuv7Ajj31tL9m0YHK0g2qHbzJT8GSWlEoO3TVFAYp
M2bVOfaFFllWQP90yNG713zVSEnMng8U8bnDrxOToZ+7P9D4Y3sqkz0leXH1l6bvxiX6Kkdu33zb
DomlS535Tan0af1KOYPXGm/FM0Byjzn0V4GEysmQtWzQFV4HHi/pgzOnIIe9WdG+QZFSUf+G3abL
DiyV2o5Zgbv1rVFmRaS1uP3o6T328lWw/8FKLjxYBlDD7gyBKTvFlIQpmiGSeVciMjQ2ESeJzv8/
56HiHRJiDUAmAppWjflheK8EYpD0b35HAAXcv1AohOd8FUSnimDNWJtL7YYzTzcPVOqBcR+FtoGA
EC6vh6OQMz9nFW8h8rhVxhZTEn8/b8QiWVKLpC4Clgmw0oBig0AYKgAZNfCcFcMpoI9Sbg0HmYP7
ZSt/Y8o+tkTDMRm9PSo0EJdk+lPry35Vrzpa4cZdhNe6iw+tLwaQNEAV+VEV60haRhxJ5gyjOGt/
cRXZqclZsC5SCsBpI9mC93miCijyQ4FHsGhfAG7UyVTBE0CtC9k39QViKt5mO4f76pbikA/JbRay
e40YQA2gPF2nw0xKT+m4rknY5jtUf+Pa5R8N0CTmpE5Pgbwluntifoou0bbeMrVR1ZopM7+kD5GW
yhIJvxfbrKpnPrQ+3BVzbtNhJVAbt3nQX4tkXRAmC8QKPk3KPnYmyAQPuyAKJ24hz9o5pPmyMATP
CIludzUHuL0Za0DVsjy56BYh7ITT78ClPCLjksobOcIDq5jLXjZrh1WJlEY9a8rSbJBNMX0wdYnZ
D3V5N5e8HXSoOPXRu5YJFQVgQO0lH7dWtKtkljuGw+HQ5nv0KzNgZRl2F7hJir9JmMC19RRFEPYC
R5Zp5EgAr2iHAf5VbEJx82H+qcRgxevaXsrwjSMpjDPuPQXXeLoKkYBbeJzp25tqxHHOx2mX70m+
rqiW5hHj6sPcZFh/wiUhUcDMz8+2UcGDpwH6HB/Kzj7F6rdvn3kke3VNZsPShhrTyfigzQEU42nN
iezoSMXE1ws5Gp3FecrF1SJW6P78fK1yTLHotTOJJ0me7BXI4QpuJtfekvOyywfFe+x+lES36apW
gqlRv0R0D/Cxz8ZrZL/NgqAPl/O+nwJ9oNJ3gRGxBbSuzfFuY1X7wX+5hF1kPRnm3GvNTujimmSp
IW9og3JfUXKGLEKZUBNEGv+XgOyb8Gbyt7ot6vELR78oeKvnGfh0B/aJUUEwEPLFpyMkUdtFRCkV
/U78BKM1BYFLD7KDYhN8zUjXhnGkAghvENIeW6jr3nCMnMGWsTb5E1MgQ7nPUQpwyVp3BzGXvyRe
rYy3YfDrOWdVGSYv0ikIMXZW5rh1q737w37R/HjylrS7bEmyvQGYN3LWYacntRAYldpM2ldzuk/W
JUMeE2MXyTMRtYBpD5D7H+wHlsKuVTcbVrgJgQRiWa1Qkjr5rcp+h0epnrJi0UFe8iwoc5NM8HFv
oPWvPkpUm+rDmrLjxRdQjNJFd/RK9kP2Smf+wtAg9KMZ1sw+OhsIyN0fhwjDDjIUTgyXB6f2ry2t
GZVVvqYwRqgi2WzHEKISaz3zWbQNkbczMDMX2P/GKkM+IVY7ljxhErFzyHtbnoq7rZUnu94Pp2iJ
qlNfV8tsCYzCtY/VZc/M4CpY4/0pBE9btHxvD3IQCJP44neTyS0kYd9eGOCFGREWLNv+y2++a+Xr
Hzrt3GtEa6SLTFw0c5hFeLiL4OQvnKnaOTtyLTi/zibvdKocRIHjjFGjz48FgldmJoYEIz72LrBk
idIxvnEXRUBDCYWxPggw4TmTUosF4C1hcxOSrg7ViWLsk6/AYZXHdwGAgXSmnRFxyIm4MJfECGLg
YP9esQws7GpLGNcsGHETvJ2c/ovPIdywK1Nl2CmrQjoIQIn/5pRkvTFy1jso5awB+tNpCWFq2jPd
YFbekctbp59Zus1WMiKHpf+rBlC/nDkvW1u1Loqb8CdoDlJ6B+MojMXwGoIPgzG1+Mz6e8cGLJhq
oesMuhdSDY4bDXEaYH7xVHR3SgCwyMZri6k+s533v90fRD4if2tOZIoJhcXDh0KdoQrsu5qPixYO
BRs5RMV94OWXzpF8lvL9EK0Y8EwEagTMfkrGl5r0UOvDxLddMnPfofElJdnV6QjHhiJcSPO2FBxz
J/2JyTAJ3nJ9rH4ZdqHUaAblW7u3AFFSdyX5fTIaFzTDOkEq5sYNDpp6lNttkHwSb4Kapl/q/kE1
aWKAVHHZ3YIT7AH3QFwT8HHstE9BnlQpZwRjt2nNSNVgMErWmJSndrSn8PEPlXT96S0MtPrIMvQ9
AbGTAmrH4/UrEQ1RDAXPC7zLiicEdqP9quQb24xFWq287ECc0ATmM3IyPBxDWvsY/LeqCE04/ppn
oR+cdC2Gnz49CxEYcqO23Qz+2USdXEsvZ9jGhTypk3tgEGGEOe3ejg+J8V6vhpkOVlNYu6p9VtLG
DC9OfIhHA2iUN6+7AC/iEIASXunSQhwBjIwOrE1ZLPvvLMLCtal6IAmqXv6k7tRXTw11n34sopM3
cvOt8nYRZowlu3iYww0lDnKCdpimCOIaKKS5RhUVAEa1CzrkNu7Cq4+jzIS7s+xLY14D/y8IHx1U
QoO8C/iSR6Q0YMFYcXX+Pbhl0sgxWc55hfjFveLd1nMYew6MV4VAsUk4nYvTKBG+R2XJ2dROkkwn
mDa1EMcLxW1cXU2mc98/CE5OLENOdK9QNEba2VPIrF9Zw6KYc5HAkl8jiBU26jrHdWCeYu1aDwwR
0XfQvqMGdfkJFgCtE2tbj/nNKBXY4T9TWrXVVkH0DM5bTNVo7WSfYk2Xq4trXd8fvWnM3DlwhfFV
BsDNzS9atgGdxRkbY6/uEq73UHpF/Ss7wPKLJENmr9z8ERSSBYYzQntZKfKAMkCdNkyEbbEh7CBw
tpqQWlBPBP22skraKD/K/NlgsszuLV+NptxPuU9DG6VrYOwqs3bz1xiWeM4V0qX8pcXeKbanZcUs
U++AmMoF1RyItdG0cjh5Hk+3PXe8X4InFtDbJbpolMkYCjG31H/ktE50BpDaubM7EdguKd+4ZqwG
SFtBaCGM8vmXaMAlKHlSYLEd1IMUnJ0C5p6zQIDNHYLwTV2d8mhfkfifbfwF0ykXQL8E2zCj+YB9
LudqERgJRaB4HQRBjm5TICsaX4gS4edHmUTUowtYIGQaUz6v6iqTnDuWL9mcN9UMNlo/FSnK8nsc
MtvEuNwTQPCN19+GjCMPo46gfpqCgQ5sUJ2JEQOqEEUyxXliZtOzleSvwI+M8ssue0aJt8Jya323
Jsyv9aPVkNQTLV+D4YVQUR5VigaOsNE/cHs5YMw+ShqQt0BDFbMqzO/B+tYAC9Qon6rSseWdMfIH
sCuXI3LaYsrsW9zFct3CjfTpl9dpcHP0ufMvmCZfo6g113cwu9Wk7U+1zqA+Ea1r+kIv1kpIlxQG
iSDArFD9sSEgRZkoRTKzSOgc+UEMNuGKQozyaest6S3b8ZvfX8AODhcKu7YcdDwHHKEla8XEOKrO
iQiTpnln8r0tP1Jpk9crn+QKYEzkffCjJskMC6cxJxrzd5/uTe8GfTBVoHkajoYy56WCxJFLsHfE
GSUuRUl+DO7JTH+9knEn2hnSpimwriCpwVtIkDHLyFTAF97V454gi9yr2uXAZRHOCGDpz+SYix2Y
7GGiU/gNIYZdfue4effARpEya7sviekSxlnR1gi2PW3hx1N7iSkcZN09/lNYjKeAsZSgGRt8GjGS
rH1W4DvuDSqVPGvU1Sa0k5X5U5sjOkzrOZHu05KIsA5xumUDnJBvNtrGJh5Re5foT1SFY/mjrZsF
O+WMTJyS37giAu7fGOBQokO5HsSxZ15DmXB4vvaog8VMUZofXe3iD0cv+TKcaThuIkliWOZwmkJW
IyOd+vOSJLwJ5gh1QwndIEiOmSl3k9+fkqT1riKFRKaCbAq22NA1hmMhOtfDBWQsA1H1rXOjXYPJ
b8v0j4sa2RC40aJY+eueEPL8XrjbyDmg1OSjJw8H42/UtwJoEFLu0aXrIP6w/Fug/9TqbUS2p08B
C4J6ZcYL9Sdms5shZEmwu8xMAkCoYoeMzlGGdhdL22ntktRbdOIUuhHjVWo71P5o5LHv1BZ0Gdet
FixjlqYA4LVCUovlBMIo9eqlqoyYBtG8coxvivzBV+E73NqcL2VPgRay2AE4p38UKID4oqEf5hBN
DDCsgkD+HUCf0lwcbtGuPHYzBCf+LLIg+2YdNB7eLHYpyIGVt2zb3y6/B6wftjnNk1toIQ83zoiT
8f7OQjZeT5xPTNWlPNEzduU5azZpE4BYIG2IDBncO3hZ7avXPyKIo7bW5l1xs4enSbCjHJDI8pv4
tLgskB7MtOw91AXCPJ5WyrglRmw5Ah6YPAlbKdRsUfvlSjxfNqtokGdr2x7XPGuzRj2olJQ3Zwh/
Bq21/YmyQhxobsEne+1Ym9TxmBPy4Qtuxs9xE+cfUXsU56uL8o84x+mvhJ5Cj1+u8huFnEk+yo9q
z6cHyouKb0fTiwEjRJUcIqh62ms5VHCL2r6dx5Y1aZWLRoiu11+sbK3ZZ4wJJVYHTydr8ZL28H6Q
INYVCS7pYhz94YbIJCLZPoaaqwsP9yx2SHoU+L8z//fJpdqKd5y6RSRFvO12ecAHCPvM1QfMAV8g
cEGdW7fYq8txYQ0naSHj6Jon1qca/8HOm+GTOAEPub6sn21a5bOdFKOgogKMNg8GQJfrI0+U+VAV
C39gRkBOmct31337Q7po8RAirtSlt+78BdndIxKBm5/PVQsXBL9NBm1DGxWPE2dmd43YUDETj8pD
TI1a8BVPGVmq0xttWVayggTTqL/QJ0a8OgXl/QHwokEgUr+zcYk6R3wRdYFTT1cJ0SEdhk62BODw
R3IxZPNQOOi52v2A8zpKcewT3ZSiWo4xTY/bjDPQ52SBay3nRL+IGSyNVt2REwZTE6UAn1QMoPea
vHyUa1yis5zbmwQwwH575nDCF7Yza6WEEyCernth7S7p/wKL9z4VVLtRTypghvGBjUa96e6Gt1x6
8bT5DOdO/47BXRwALx8g186rH3cE1q6IF+Kt98lZErYRQrVK9hAko590oqABWPX5YQQJaGtr4nVP
FNzSlMsI6lEYVqCMu5UgDurgu7aEw9ROHpUn8okcoAysMbzq1Shk81CHCOOwQy5NN1221llPSTfE
n0ZQ9A9Bb6htBGFpnvvooxdkCWetgG9L/DHxbuBbzPoXzzqvLmCHuYWpMWH1Sq7w2BeXq1bAXbzS
b88C06v/uKx4iIJ5FQ6M9uqUEpZphHlz6ME6mFDV6sMcDuPSW1fqU5oHy9HYCyCjiJfuklsXfk+I
hBQyfRoUGVS1keeBsIWry7avgfghuOtTouDATN2FW36pEiyLhuaSxJ0S49ap8dC52H9RTUCD9kf3
eR89rPDElzYj0M/lskD4YU/upXtopy73wEs3voHtKefGxbV1Z0iW6asgTWqmKOM86Phx+P7IP8Tf
txKHho+0FCKLYaPWfvlveO7wgsF7atbGDra9AVTZgYqpX4N2SiRijylF6cxq2akF0rht5SPPOQEb
ztiLp4rNUeqjTpxFFADHay1HOc/D0dop5WkYs4u7/mrNH+GsNoNnitmPT0aG04/FScHr+aBJG2kC
IiFWMzAOUlz5SR2A3urcoifKsq04CUqLJKR5jNTFHr7Vjk8iwhZvfaUl8dUViiX9m8YAxziF+kFK
drn8Z2U3TcQZQXd6H1Hx7kuPTBmeXX9bJaeKvZ7lk4SSYmNEtzTB/bscaAFclgDUgcw6yueYoEWP
eIWBcnjf70W+L4pzY/zY/MGHkdY2FASxIkCvkl2kRrjABDxxpo3GkMXtyF8hXFOUsTkxluBtunaX
Xnwd/QtBPiFC5XrrtudYE+AqebL+SD4B7GFBwAOyHm89bqwGQxA3QOVrrO0q9FE06+DHCjiB8EBj
PMkiFGpX8dyyCg7KYWnL0krkfRko8k2OC34FWhtmRuewVzDbk3LVw/HXDPMyw1U2/bEFSs7dFpAg
Jt4fWLABrS2CriKeNFCI3HhTCmCQ10G0NJ+Wm5EdiGgvpryad2R00jmy2tIFzQsUdpEHqXBG+eEq
n422ycoTRL2eX3DMWM5nFFv8/dJiCFk8Wn+iyVMH7rNeeGyXbtpiPhumNgST2z1xEwIcg8h9scmS
ZgXCyMR4xD9cYHPmZ/YwNwfQwKp6M0zpn8bbGIHkDvRyTTNIukhtJ85OayggY2NhDTKLrdiE3BGr
0CanpQTOmKb5vYm0DY6nUld5uIvktSEtSPqVH6OxIq/XtNl+kYbyTOrjl4UUNF6la9wc6o7gQbEc
YTIeiEpB3Fn7C6ut105w0StEYzVM+op6EJ6mwMM1C9c978TPInPkM9zZLQgoqnjqOjD3zlr7k3VP
WA8yvmUxD9MEN+mlTylfRYnP2HyrpCvxU93Ddg84NLuAiMxh2jnovZ1w4pho/dV8rsXNDO3u3AIJ
AuJ3DcYvLA8zmtf14tVI9E/dgMPT7NSi5fAAyg2kggpMLJABpd5710JYfujil2ozcRL/WYHZYNcU
qiqLwbYcfplN+RrZdyF2zVeesnBpe8ngl6i42tsAiKXA7Xdx+T7iLz9EKQMS2y4aaxe3f3lxVVF7
kI/Fs0XWJwn+Jy5vQppQrxPsyKgFC2vOMiQfEo0PsxGVD98+3iDmNMJLVqqbTxO+fSIodJuuwgzH
6KvHLzj57lLqSQFEinfJnzS0d2u4iq+jNB9dsM/hYaKlUy51FZvZJh12EaCvJvSncI2mbFNlwiJG
2G/YciFmz5LkJIk7CmMkcsA0WGhP8ibEcUrVBpyzQ44L0dngyA86LOzs0LgwnR6eeHKtC8xy+ZpM
01z5DjTGCmcrya+y/Wk00Ed6VHTqQ0SkUw5hkFtISFFEev6PTZ4Y1yTSlGssrmOqbouLq+6LlN7p
Gol3/++B97hqO/aKdE5IIFo7w/wFaPXyC0CGzk0fzzXnQAossi2R9WhM5J/BfrFJUrZwTFwAvx9z
+AjVlyHXM6N8ajAHBOQASw671glIKgAIQrwqYE8v/xPfaSA9yZ6c9tg8CB7CRL3meOaLqKk3A/7E
UZGwzBsrPVhQLebGH7b0kTt/pr7lVMikp4uuwsrlyZA++WQk0cPOEhe3pyw8mDnffM1GE5FJsozm
4SIkiAFKRkM7jzIn8KgMWlvGd1a/dGaX3L+MEoADcTgzAC5wcQlRIu2y8XhR2DS0AXAzRPsYUrm3
4z8RMFCIHrFlYrC1pxpSi8pIo81IlLJ8cJiZZa+Uak2LZwUuY42HrNVYYiKU8u8gQTmOooP5IabN
E8FZTLWJtyH5JwV0DKUWwUg4rWX+EfOa2l6FjIkDnrZYt9tr9c0y/gIYB78+Q7K4HrFgSAntU9Dt
fPfsVXesaADecxo0aY+V+HvZ7NxPMu+EIgVkEWKCqyDKXm6798291pxKgKDkHZFpOqyqkrGytmda
Jcp2fu0ZkaXuG4HmNGbdDIMcZQ4hP6GABJA7G0f0kmLjbSsVGxXmvhRpZo3g+aQSnVVIX1qlTUrr
g4rUcSzXNMEiqRznqY0+JL4R4Y0hYAZknhT411HysVGgCU+NS+WrGA6qXVyCVZNvnxOR4/MyRCM1
p9VvHvw5xk0tb7J7d/6GxUD79IYhkqpUbLoC/nPcLbN6iYOMY2NyaYmE/QbgKDYhVTGNY8AP7EUM
BrXec4g1ER9mvFt1ZmobXBIhu/REN3cQ1ZL7IdTrVvvQxotqPIWfb+TEUusfrFliYWcfDpMvyf/2
h0c3YNXa0hrc8nLwUKqogyubCg2O6hTrvXMNKpxJ+74/W0M4TbpueoetC/4qNKLVIw7OaRmQm/HS
E8KeJjkj9pW4cMQgmPpWxFu7f6gZSSclXtGENBtuaX2Vyy+ABeawxagBhi07JPaZ/BFwOQ93Y1vb
54IrWkO1J+rjVzoXs3SsL6r89Ku3HVE5Okeju+u6ZdAK5NCbmzOpvPrOmT9FJtqi0CeITSYqAgB8
jQYNXTlqI5wlbgdtXnI1rRV105FYjkaXVCzsGtxnU4W7+kXGtn+QuwOVfCzyPCd1iUBiYXcfFZ5N
LipxL4MWINFayOkujsnd5Twj4NN7q1YPeI4xj3ejN88ECXqTk44AVtpqT5KCShez1zfNq3J+yHPe
HYB16ceqP0bnDnpaw7XYbGD9eCjBWFyQ/0ecnDuAxK7E1jHeh2ItDatWvSWY2cJyYlBYQCkwCa8X
ZqZZ9YnOi8BNwryypTMXKo9RuQyYKoHZ1dqZKmo7cyD7UwNaeG+rW8zNevSTq98Wy0SB9JG/NSV7
DJu/SoRNOCeCUA53SbVGydTm21A6EI49KTHTKqssRqvOaWlQx4AYUHzvWuBMNX1hBGs3/awaZzI4
3soCxRKC39rlq5LmfHBi7MqIHBBec8QM0lNgVrgdJjbUg+4exCfhqZ+Jtc1GAiZh/Yd9FpSzqvus
TPI3Gb0sh7KWHV/v4J/wPqBVLlGqhWi9a3gJWyLCLppryC2k/CBF86Z/WKhbyGin1evzDnWdnodZ
PlWidZEfU5Vl6yh+gTB4UkKFFgyiV7lDiREeDLPBkYGwxep/+lUAfMQyjzT2BJw8jUhqLKRThWcD
dTx1zMqYz30bfmFC9yEtfDFszgkMTvO4sx0ekORFZ6WjV1M5+Uz0S0JmrEF6lKf/pNVBy6+j/uUj
YVPRxDV3Biq0INIHcW9BN2MQCuqFzgte7OsZHcx0o7oUJWhEa1J6RkqYitMHeEv5zbVLja8/nKeg
yS5GpCi+KQC4Vb6xmxPM1Z2o3YlhfFfyPsVPXNPFx3nlfQzFQ0XrKORPKg9jqqGwNZCuA1W3cOto
E1DGcZgWSL3DfG1lRwNNeLCkmIKhAZKZWEDYG38bJtRxXxMZrHb6cuyQcCJO8oHWeVRYlfvlhHuJ
NxfYFq3djLgDv9jo+lUIV+TgQ3y2Tof5qLzVwctJ8AcC2ZXEzsxIdOVm/xryb8XaNATfxN+luuqH
dRDch+6ZVB9S+hvW36nBLQTfMJRri9spdJE7HFFT4T7a1sUzA5+mj+HftqioJHbTJUxuMfMxd3tW
nEg+9Mq3jac1rW8jWBLL+6CnEDjfnnLMiq2hD6CzX5RWtWib5OZbzrYADlzgafBZmu6+RSrib2Tw
+JBiTswfUfRb2PMxwES6sAhHVFe+2P5PVXaUurttzDObwIHsHCcre8Kykh8j/a+RzamNlfDHRN53
t+bGnDw/Qf66/rvrz4g9R/GRWpvWuRUYW2h8AF158ZwVBZJka+kG7I18DNVGgEMGOgkaO1iyNH+B
nmIQTzuqgeIZoiwf4kOVbsxcMN7t8BQvItaPARwTA7NCGhUbCHWFvvUd8kBIyqOAaW31N9/MKB8a
FDWejWpPxSOxUApxg23VbK8ly3A8ytojlyhtH3kWv3zkGLBLC4VwRGOe7AzjI0s/43FvaXsMhWX0
kXCE5fYZ1Q3Zq0smBl1dmhYCo1Nbr/r+lFsoF5xFlN+pQEhRQrCWV2Ru/2/FgiDhsE/ijcD/a44n
3ViIxpeI9pF5U3/ZdIcRFyVkkChJG3OBWKqjuIRIJ+mI92DA6szERD+Zci07goc+q5LHTuhEBRfJ
8TUfDdYV1ogqrGklfffmN61cswjwbU6TdnPqMypStr25Ek6+8EvDfYzblyhddynEyZG/79ul1C6d
FqKRFA2Uxbl3qpFAMf38WB/R1tO2wtFPo6r4i+tqbcsrT111+iQtl5r8TT2GU58CkrBR7RCwu5Bt
GkjuGbwKwvJJif4FqDxUV7/M+jUmJXFIw+NZ7W/mXcndB3ILZBgc7oYgu9oWglTYimpRPaxqHQKx
eRS6XizjiFMj/s6IIJFBxAGgCu8fsunY/+sOwCHlIxm36DQfg7o0VIYUdoZFU34lyG+J5e4PELWt
uqGBAIZjjUAXKQO80zRnNL3T+DPVi5WmMYhs++aXEQ4hKcguP2yQXuIQ2W8HYHEPMy4a7irTCxZg
TWRkHILkh+vBT24WyT/Sv8yVqNvBtqKpCsF7leVIjtbNk/c5D7EJOWz1uDQ/B9AMi4xrpTwjnkrk
VSqLOFUp2jkLlpja2ltENIatzSo+TnXvr2wPQhxAIgRybT6nf9fTUWBgYfpp0b0gPE0j4bwGtrfk
0+hAorBcY/kc90l9SfObaxBw9VOXIsDqkCNSN0HtKp3snW87P2lIq6WNRX+QfwDUTKI1Dhs/IF3s
WOs7ZqWk4hDCmISLN1/KL5mCIOQbjkh8IPyHWggQwBtpAHH/zt2tzSROIUMJiiRz7dSQPj25HrDT
THYpKpV9GZBIJDARXn+0ivho+TwXo3nsiRdCeZqb66zdWT5Bb3RBknfYPXKmOEflKoDs1+jLW2Hu
UbsNAH+Ofq8BG9MBzsQ6E/f6MqCaL8pwR8azsXoSJeYm3+KBLmj0iDWArTlpiXZ8aipS4vwUiH8p
0gYd4DSRxVoOmESqnVcAQ5w0k/q6b176qY9ZCa6bA7JGHKopX2WDKWDZNH8eJmuGJbqLaxTLKB1w
3Qo2NfWuGp+O75x6ZT0s9IXjYZfP0A7Vc896/P7I/PtshnH31oVWo7QpQn+7cGCoJGctyrlO3nbO
hvTpkCanBFG18+6sP/EzmGRauIU3rapzlQEzzl1GxFsxQ/OY/Yi9syE0rL2FYJWS+iJHWc53+NPJ
IlIHsnIcXjltOejnXrqPhDlb2mOIN553RqNoy3tNE05qIBFvG4iWi6VOoXO265V73Txi51k5iE+v
mXzw3HUe7C3Aw2lJhNwaBdukzt4R1/dYXQp9rmu/VvqXasQz0NmzqOuvsLg78bfq3OSJP/eaM40N
02GhTaPsU4ZVEDpHE12D1adMWxmm1WfT7DXCa4KtJZpsF7jr3PTegg0oJYXcPEYUQMJ0S1PPOmkG
Rox15xOqOUO0PCP4hVMWK8vozRswKTB/v97ozARavTR+oFzJrEFjSBqQMIybc14E6wcICDQXVQ59
Aebesm9Vcom7n2A4Zeq7C9R1XV3qUoNSJg6IEh7desXdbkwPFUxtzK03QhHkyk2+mugfkvW/qxNm
zLuK5KvEfBroDfsVQdI80gdCzrTyame7lvWhdPIFgTeEZAEjiz1FbX50DBvDU2S/1N2yao91fJYJ
Ast2MhAoYJY9M7B+hB6YHmelm4rwZYPhi5cyWXJfh+2hHXZjhd42JuGYVwrcTCYG68ARYDKDIawI
Lr7xx6FAZoqlr6iwcb1fTgMEdb8jIo0eUJdBxcUOqf+2zMwj6GEH8Ripn6QNGNCQVcVk122jaNOM
a8wF0+AvrhARPVsXSuunr9YKZB0++G6eI8/TnzF/sH4agm8p2aocFh0Rg/21BUEpZKZZohZ0ZLdO
+pbcU24sqhE5EuTXTnhdVUw7xbqVuK8tzuzDPxmVdAM9mqYF2ZuLJt6q3tqWHqpBT8wSq8Y6wvVl
oOZoeIHiMyF/WoNiXoTSnsfgmAEBsySIDA98psIJ0MmE9e3o0Up3wUCo6BJ55JzEibR9dljdq3Rr
KTui4sp8b+XnZkImIVoE4mHym1pdYP1zLOcWevNZmCy4Q9FJ1d2B3tSB+0VuKMhhdoSoJu3uo2Fi
zIpbVX0MzPPVxSovDpeopq7IDkwA6SI0OgKoKqSLod7pB7KaQ+CX06T/bHUOrPEHml+EdteoZZDn
222FE25Deru5Bv7u2k8aFqa4FFKgPoAJ3IGshFpxdq7ugL9gRbk7uXJny/2z9f2IPjrvEPdxYsl+
P/Hzo0p7soY4gblrpYdbpzk5/Y5szQHinfx20MyofUYe5111sFnkVTom2uBogtbnaY186Klpaynb
JPpBOLDHcqnOkzm2Z6FZ8A4SWodQiArYL6JFki5JRxe+Ga1/WsCsEREUUyQxGagzWcfddjRXlMub
6Ukp9iFSLelkssHliM0fhvGlDJdEWqfO1iC/qwIgVaqF5BekQdkEbKD5wxJYHxgJp6n5pXAKWO6n
4MuI60WdaqUfQXckpGOiJfux2ESYSmK0O6ze8047269/H+BwxVI7p/8vdPeyc+3aF0kvXDGSu0da
nSrI+5Ayp0uxMunRVfiZQ14cGStn5T4V5xUgdamIReaV4GTsFpaBR2/r+W+ROFeSDJBtUjyQjvbh
VfISPbezqWqUUWSfO9Y0nzfJ0a8ueSXcQuamwcoxqE/d/ansX2QzsxpBoIXcW5wqen2EBrFD1toZ
MzLpVcTYaj1oOo5lhUBEWphcFMebXoMov9S8MOYusR/5s49JT7VwDLFfyETs8W37ZOn49JE0CFhc
HsteJy0Dw0nK/7R2dr/x+3dnF6DTOGjYWbGYQaqUZHIKC3VCp/BhpB4esVC1iHiq3CXaH1xJ/N0a
EwLsRqBePWWrs3Dbxsmk3Ero+RDKkI7Lz5v5xBpQ7DSllFgxNwmAQwo81oCb5R39ZMQRmgsvWWe4
3eydOEYrZ64soGc+6uEZNmub9ai/kRUZS0TaG9BKGjTAOHA87plfEvA3tP5xSWT9GaJhyvkiW7uc
tocZyuPW+nTFok4CFPTT3CENWSZXdqtd1OCR4g+ysN3BMgYnUvuG4JA3i8p+oKH5j6TzWm4cyYLo
FyECBY9X0XtPmRcEpZaAgvfu6/dgNmJ7d2Y2epoiiaprMk8iu+dxxNLqDlch79ClXeamWuAdc+01
hbVwAjWUKrAEGoalwJ+S/qI0RzV6oledB8yZwUxFO2Sl0jpXs2CJZdzEYE6Qu7f26zmTumBZrx3j
GNB2rw1nEUYnavYE5EaD2FhFCTPdEi10TRcPHVeE0QBPxOGKONp0AiTCYB8/WZrpEqQD1Zjzjgyd
O6qJz4b5Hmc8SjZy4OgUx3eEFDB9NRCgHlACex9Mi4uINTxUKopkYML/6YUCHuno2NRLJlZ0eUmM
mWDpe89eB8p7HJo1GKgIRVNXru2DkR3s+YP+0HkbFyStU0/YmGWIz1m1EbPgLVANnWI927bB3UHy
rrjzziNV6QuRYThjICkvUy+PpkxjMKsdS5NR+bNG+uCvWdrl/X6q8nGiKjxtPPF8Ocd2qww7MLV8
GXWYevDTTHv9/CIqEK6j2iHOPsftKpsIW1CJ3EecLCf3X37tyFH2N9wa37+8E6N7ZzLEowMyG67t
f8A+5LpAbVlE2shnMgLggSn3Z3gLWFl905mlWPwzwPYqScsWN6Op10QZvFFHv9FKLuHm0TzznWxd
YufWbXRhZfKuwweneUbECC/CN98znpBg/IlCgvUmnwOUT9xw3jzrD0OwjUu652kkC0mpPVU24oeV
3gNGgh1CVA3oebz1uKtFs+LHhkjTJe9DeHDiHRJ0D8yBs3YQOllXnCOzqmbjtvfRyEMET/StBEBs
ElJ5ZJHBPF7VjmHFpJedCOHzFG+QlPkBmBDHqPw7ivthXiOHmcaTSFS6aDUmHynAO7fayWE7GZBF
sZjMzJqzy6uL1ElKhuWPuBOEDV/X8lHhzyVZnCJdJb6yoF3YujZ9GuqBgc6K1T5HldZeyOLIh2vW
hLPRZxc5gSlYRigm5wWi+f9LowUlEZ9eD2EUkHq+UJ64lNtyNd4hRfqoTNP+VhrgSvyDrL97d9VO
jln2j/53mixFfrKSLeEwWCTxmyJRv4/5fBq8eMlcocbXDlH83rHUBFSgiZUgN5Nmj17RBEU1ifkH
cW/Mj8mLFX5lqL6d8TJ1c7Y8KvNwJtqDj8zKJxTk6RebUawd79E/U4auyknxbmWxs929aq7CEJsz
cMx6QHBxjSc1d8AMJnx/AhZg89/rP9I9WyyaI/szXAUrSIej/FcoHG2ZNeuVvximX7YuGnCOCIOr
HPeee03VndGRHUgXB273qA4bV52rQCGGSesnDk39feBtqKlLq/IM9jAbLgVZPr1xCuODisTWOCN+
iYv6jUnAdP2G+oaHtyi+yKfho45YGPiEUE14sYBva7eYfJVZ9UqIHdQo+jk1waFlCAyY9hYUhn62
qmlgJ/2kcqoQeii36QdsIAkk6mpw3n2iTCXWSy1BwgIVMVojQG9KtI3D2oyWivY0GAUQgjINXoq9
jZSMRsjG5xhsyJN7q2kCUZ61krusfTcCiPDeKcxWOhzX3sUCgW1PIHcDMMg8sY25oZyTNYeUR2Z3
FM0cDlEGkxO4YJokcZ8n2CnlsGI1xlXKBGfVyDW5wXp5wd7c09E75TccvkkJ79zGqVZpWZOa10nH
3Ls/U4vdbQr4HdWX0XSLFLvmN0+Jd2mbXZschP6YbMNMbP1oZ/VbzQD/PCd3Zax/jeKjsb591A4Z
YltRQWBm9GEWy8FYmNbHwDIV9F2graa2TZrXyb1kFHPFP5TukfX2qkJ5zFoHTMFUJwvn0okPhvc2
2gAfGh9LYI7Q4pmZyy79LboHBVF8o9INa7ink65Xyr9aXKX3TH7H8PRNEnG3RLeZjr9ZS1szyVl3
IeEN6Sbk/VKJo2LspjfbPJlVLi4wlWX1FjAVREgmEZlzHrm0WQMStdk+6Y6Z2VnJCdZIBEATzY6a
nsgoWcZ8SfvqqnoH6H6TpgvGGnU0v00iXlkygSWLg68aH8VUyukaj9hhokMxhs4xy5go2lkpv6fK
Z+3ecTCbDB60Wxp8VkBbrTs6g2a6gSXOcvTRW8Mh5eGhRptmGg1YqGnrS1xsU6QzYIsNqurhO6sQ
obpz9kv+b0feig3KET3PJA0HEUfRY/N/ETPahxw57KihaLEfh6fly+NUb6jRNwt/2B+oVrsNQ/4F
GQ8DM61mn+irggmzRtH5UwVbI0cqi7YrXrP9cc0DcMm3uthOfkW219NEmxbfupQgOEQItFh/6uWm
biZushkv24QXRMbIXzl3oM9qm9h/WRN+xD9QrPMfiO1mQ37kJgfM2bGVfaRiwmqyCLDvtQZU9277
Gjs0lnHcxz5D5DDLZhoduQVDuHMnABcqrmW0oVXwUC3S0Muzqh+1mscthfK5d4BAMLoIzMNkmI6q
r+lrHi347UW3oPmBjaxlLDFALjI/Lk9g3Kfhpi6vBBTQxdb62QWCm1EF6AgcIFlNm4VQ/9Xqa9LR
6LDCRrQUbOb5XqZH0z5hXCQq9uGzlaOembUFLZeC59emWYF+Xcqnoh9rD21ix1r9y4hXqc9ySmKE
IvAaRINiIEViIif2g8XOhaFXkf5r4SBpe0ZyunwE5jWL1pa2LZRblaGt2JooXSBHOlsnQeijL5gr
41bkzKjCXd7+DtS/SXiMW5TgKe2o/SojDuli0xMTRFrZ1GHp4lUmKRiZz5irzyZEq2VhCm3LkAP2
Eu9ZWsVLE+w6icPeoAdj7dLhjAx3pQVSKi95E+dZ599L0zlWSvjXlMUXySXcVX5qzE1FnMdxch1R
Kyap+qcb7jlIxmeiAqAqBZAG5vlaiH4sUHY1F3GZb4h7Pgp7PRjZdzd+daRJOny4ek8ul68cLVjy
Y2a9Vwl4tKBdOcxzgsLfZTDuwyQ5lFSSUm1YqYoHevFZg4sfTEx3dVCSgl1FWoj/LY3I3cBkWUC/
8MZ9F2hcpthACmPtskxpWr5wZcShOSxprZfo/2ea1A+HoG+OrdocbVes/Ny5dlqisnBpOH8XOdpA
PVDQzWAIbaNr0I8rRRjgRt2VGlFuKv1JYxeJJMPJXMhE9rKtrWVPnzWxNjvOmlKt/zlGyKrBvtju
tNuhl4jJP0f45qIbG5JsY0v8okD+kJkHTJ2s/FpokGIHWHRWD3yxX4QZNBl7WGUjOheyZz0H6RVo
Sc8vV/nIBphVVK19cxgrbbcWCZmD+rDtVOUQB+k+byXBYeM6RibYIHwQPvcmW4Qh6chec3mokP5o
ybLJ9VVDz1kAeJUGvXEWncfEebQuVo/WMs/52B2CMF+ZPmBf9Mh2LOZ9McXm5DR0I1rDGOGjcrDk
1kj4RlBhJfjeaMHc5CPGfdL7/dHHFARtc2/CEFCjYlHbMEXhPk5rjCwUl8oFw0ZGGfHEy4jHSAbF
vuOrQWECQE8j07JYhZmN8QwsEWh7uMXL1gGkxfpiFCTXTyKgkiwawU0p8Hw77V4YL0X9HgGq5NPZ
80/YAGxsIggqeFoVS08mph4VhcEFGFEpsbQF6fjp/ZvKkhjZislevz+HAdNyVkshasPApE1CGRg5
LMpN1n5QG9lbGMyNjfDoxh85fdXg0jkTtNEflRr9A8GQowWdBrRWjdHZZKBqsSYeRnRiNcznJJqH
DR1OD96VtXqeGDONbAoHXNjAna1RbrgvF+1SQTqYQErYIVCY/hyDDit3Pz2K/SZvFkEk3kwMV5zA
vkpvTKcpx6U37ob4sxirJS90QczmIjaR140Uuu0/o2amxJgkPDn23pO7FNcHw1Qq5TnSJL1it875
YeNX6KduNLgH5toWZICxuSS2norwqx2vFN1J9Mzx+DZkkEkbkR2zCWRoUunmfpCsKtIdHN6RGK9H
TAbAm8egzFOdEI+djRBh2BgA3PxkUaHtNBiEKIn6YKLYcCxOb+84cW2IQlBg4Nuoq22Dtw3t/PTi
JA1tnHE+6O8tGUbdJL/kX5hblCohfegkaYlJG2QxRqLJ4CN5x+4xUFM18PYG7Ndc12029ztloUn0
tl6/TJHgjXgF7HSdB6wfK8ZrNJUIs3MkCnKgKgENpKFnTwXAVEyUCRCodqrU+CqVyLXQC0AQQPPQ
8p4b6VoH6pV70d4oxSIpB7oNGjgGg4vCupU5ezD5mwE+tphhaHzDJ7qXWSfzkXVuNkVAuvTRFW8g
hzv4wnK4yprOmE5E2IzdkJlmJGe4SB1ytOs2FDsbgnFAvYz+qv4zkpeDlXiiU1Qa82CWlVPFyv5e
xO9lC3JW38HwukOur+iEAQJRIqY/imRSzIhcdFxiTLTzitLQRgfWD9XCB7dXv+pkZwNA65l3Vezm
VG7tjNeqAyLRVXvdteqbE9YoK8IZZixcTRlPSl2iov1qxXfgwxJNeJsvnUOKKa1ktdB6bCEj4QCd
tovLj9rCFcYaoau/O++97Y9u8IjdU64/M+1QyQ9RfAKtcMqHEh/48uu0l6KnSjFpWBjzI03INerB
CswA/UdNS9Dz91m/bCqDKwMJRe9t3dZjPfXP6MAAd78NorVpgjrNRNTwGXPP5DZfIPyUl5QPJYnO
fcFGX3ulDrOHWDzyELwrzBGsFvMQkoKXYjbICCVAtpFBEe/Vn4lqwTLTtA4CotRgAzseuEUfaY6o
T/LZfY/d2ba+EtTQ8egtJvOHa0h0Jd8mRJW/QLs3jYBswcwtYBgLManG5SjlS1ZM7YmEItog/esa
xJMWagfxWWE0yAGHiF8R/TlMpfKvFBloSDN3V5NvXApcAaRDXpToJEqYXp8SVfVkwtOuMgS7jnlP
lNk80gCzJW+bEUdo8WqNh9XfeSc6vCCsjEHLRQqBXHKWmttevfj5PSFIF/hRuCMCVljkCPEEsvUm
8SjbDIyH1GCVsJmNziI6tRC13hrtQxW0/8oyYCEY8xkBv7Dp43QcakW1MtGzDfoskd7MYRNQU4UG
BfxolRARJYcjhoFU5b3AUVmzLTCdD/4RQj+sT9Yr4ZTpM6oWZ6Xzpf9Pih2j9cNkrnNjN06w1H1r
l9LvmnY+DxjFeZBso7hirwQxsv/y2gkNGL/V7IE1hgo0hQiGCUVkoc0vfyCJwMvWfVaso3I+5YfQ
iNhs3JFVnBhVKRFhKkeDGDbajGRN3hvUaBDLb3ZC/9AdyLkZkFB2y2yLz3FMlrCZp4pde/A7lWxR
DGcr3PvyqoDXQ9Pe7FTci7h6jGyTuXD7HnH5bwT3qoD9bBhTmOI+fcmT/KvEluLzkjO355dCsi4E
EfbhRMhKpk4xXW6YjOsQdRC6Co3uKVZB6UsU6sZDD4u53p4NL1vq4qoYD4V0SV37Ft7dSr6F/8mq
fLTS/46eKsAJblG2I4XK0T3V/Ss3P9Py2Ng+/COToA3aw1+dEyS7yJSotz8tOBokkk6PZZr8qvZD
s7+rfqd5pxz4jL1LEcIInenib1zmy0F7RtFeCTcF72/lL3TpLC0dTYT4axl+e++wzoDClt6O91I6
e6YJrO1YxtQ71d0TxYPvvnJ2JXbL5FZM16x8GfR9g34X+WeSILL942d2h31m3HhChvEj45pNh58O
IV9SfAH6jaMbCsMRLqZ6NJyKgG7SkrWN3T8q6oCE9MNKNw4OixRm/rXgRPxUuX5CnO2le1YbZlQH
r7hazU9arIveweBL3yIx8REan45c+2ymivyhBTZPzCPN3ocBHFR3M+vrVCEIFS3uMsO+Kc5plMyt
YK+Ja2veamYoMdzia2uRbrZ1lpp/DNurRvE+7MKCXu5IQjq/t3A2HWiL8RwwH/G0m+58lrmYmdyp
cXTC0MY+0VXZBZ5KTq/yNgQ/SfISyZqdZmNcE/TdNOvmeNLqDQ48XduppIWIcOepA6baVdG8SxWx
4z6Ozk62tb1rwOANql3n7UpWle0xL5ZGBXxh25hXvUFkqT5G696hXxDpEQp6ScvoCIY31SnDsMMb
74n3Ot1W+SEWn3I8qv3N4CBo5IOvjOAYwP9cuL+aa+7FiJiNG3P6cXR60Sr9blnr2tGdoQkYdun/
Ke2TsbwYDjJkcfqWg0WgJPP1vcWyDvMiSxQfwyGzyy675+JOvBAC2JMVYkHCdzieFbCQ09Libjmb
mmGQsY/x+obL3GVdYe7ZbQ/NR8JGvsPxQ2c76V2pG6OVZ574izI6q+7dYhTrmIwoU050pAnx2Swf
tnUMSphDl6DYJQEq/k0/IolcA9dzgnOAfJHICFc/haYz91Sq8BWXHGtxG9VvDy2/6y5W/A3YIeYT
zRp0eWS59Dm1FqdneyMIO09/Y/iaxb+I6y85BL5cNCgWnMCeC+/pGeu2RIOyLLAsuS+l/B781xi+
Ww7eVGXvJme6g/mKCiSAbVxylmb6v5y7xsGD1aOmqTK0PF24kGy3Mv9l9uRDU+qRhoO2M4uPQ0BO
PR1oxPohEK8oeGbtu2U98oEFzKJMF5iBvGFXt3st/jLYzqcnP7ia/DtI2WagoDUHo72r3CvhD4dj
Zc41H0/CTLKWAqNXn3LjwIClYlKMgRCZKYKEV4KC0vGuLgu0yruGgvoJ7oZ207x/Kh9A9uAbUSRX
o+ED/cuZlSFi5KPXEemCuW22BsJyn2/t2el3vvcyqm0umI9lX4P/U6srs2P8nR+6/hgSF9NuwvAE
z5gG3unWZNRhruaAj36np6k5V83B1/Za+UGPrUL0DMN3Bf4mZZSh/7TNM1RXBapJ1hruLs7YEG+k
9uS7Guc/VblBltc7ZI4mbxkSJIIlcJKQaszw5Ckx2wiwduJS4JxMOItb2JDgbCG1zyw4zwn0MEah
c8rC3PFnoeMwq/qdHrBpeJDXzAoPoblLxYqjrTGeORkA6BfN5K9kjS/JmKQDnKFEAa3DK8vFljBk
X9moFtMuFKmcJk63rdpPfBD1yIxr64k9w0MXV3Xof2jMuKmA36oOqzC/xt6YN2Eyo6MmU3XjNASO
6r/GFKhATdOh7Yvg16rOpLLnRLXti5NeTQYL+TYI71Obxotty2+6VB+eu8MYdiqMWhSjdklehof6
ap/GvzqOpJbxr8RYaMp7N3zQ3mWUP+E5TC4EtaXesigm00Pis9XeO9HNiH8bwXpf/eyNn9z8KbK/
AkF/OhMdqYLboPtnRf0Mg+vUHzbKvynzMKEPa8ubob3DBauoQhSG+cEVwypj9C9dRbiJl5QsqXjj
Oduk3ngVKLOVINDHBl616key4a91dHMcht0fgXuMnyW5C1AVVRh3SOyo5NO/2L01KH3zH25RfvjO
v2ZwcADVTIxZSMbnnKmIZJm45+Va1hKoASGUFk8chd0bD01QvPMMxPpJwZiVPQfmevFaM9dDSjjq
Xfp7GyY0NUq5LfmLgizdxcPAGlsduI6pP0pw44hwyUaHTManU+BIYEPDPuqNDR70DY2UILniL0L7
HjIg4pwYbJQrG5N8SdRpdQ7sQ9noAy4KDsbYz1mjVFwIPDIDUnhpf6yNfFgYQ4gexP1qk/HdtbRn
rpYMmVhWauPL8dqJdXhxuAQ0FM5Nkh4HfsXH+hkxdZO2cWh1bKOdAzYo3Fa6ziObIeb48UqTCmLY
mBGMOLdPNolT7Kye2iDP9h4q+sRhS+wA01MQfSMF6EFVZnF5tmzvvM+bZN+Y9uTGWgRqaqLfsc6h
baCcI9+KX4J+L4QUUEtNW8fRWk+qXd/p+06J8NC9jY63HId8qTCkdO0QhCEqygBCSPDRe7QoNmZA
tAU4WlemWa+SlhCKMie+2hTzvL1CIFuPdnAUnn+pnOZS9xA43IGWe18nNx+odPuq3fHYUhzVASCB
SF00lKZN3m8L+aWiGEgG6lr4To22SmV8SIhkL1K0KSbCYULdrPbkcdYLmnW1vWEQyO3T4PfrhNFe
HQARQWo1sNTRYQCF9UvNLpN8V+KCiUiNSyPtrWCJqGj3qBzggA3vUZji3Bn3DRoO0WOarPfu+JCx
Px9TopEyEnnI84qMYabmNarkYVNF3y2uMEY2EZkSWP3WfJTLLMao4k3WuOzHB4ZMO5pjX4n+TIYh
ZIJCtdKQ1/mriD8oyQippdEdgKhjJJ4bGsIuwPVKOyxd8sssIr9MWkOTYixH6GhruJaRVVTkzbQF
UH57QTYz5xEfNLNYjbrR60FPeMXIDpcAorprb6qC/a+JOXcqq7ticmuTq1KOq0ySVNb4e10MW6dq
bvgTx6zfI8/cq/HAAyVOaVpfaIBXBil1OGtwjUKK6Mmph5+QhVeVbL/CUd7jobsp9W/vyHVnmw/w
uqYzXDU/3rW5vzbI0aox9taxvi+M8q4U4a8SE3dlTfLeqtu7D7vPX0VHTK/VfYdVessF3x3qUmz+
ndOcO6U/dkIcU2s8BhESY07JOiBmj02Ya002YX34qeA7NSQbTRp8dYHwISUFKS7iV1XmHCKsLXoi
GShonJsLGaynRUcy17pXAU2sMFmSw1q2U/lRF6yODoDOXkwIFkJJvkh6xdw/72R0HwL1L9Z1wF9R
e6zcv150t9YxLplhQqJt55YxrjuSv1Ozm7tqf8JhhipChTamGwjxKC9aXnTSmuwUUEFnSEBNGc09
vtOdpYCftT9RPODkSV66twcuw3bLnCQwBmTMyiW6ScArUd41WdwItYEJre8Tv7g1LuazxNA+siFq
d9oJ6j63aZF9+N1YYqP+6ZXhX98RjIJAcVOAndtzZbpM5V3Gh3HTvJXFVG4g0okzwtmKyJF7zxsf
tkzIbhjkhQBEhE2K8ZaR6hvUOOI6TtC0IGBXZ98qsOUQSbOCQ3MzynVI9TIbc1Y1hllu8/BDJ6TK
RVgPeIC8Frl2tGBtjN5Wd8pNOUDuhbaC5LPOw51GS9vEqL7QnyQO63Yn2Y6BSbpRB63PWFvQKVz1
0JI25em472CQ5KxHUFfxDq2cSm6yLpyPOU77uryoA8bxMAB84s9wlmxsvdtbPqx8VZl7gfUpgXLF
XjKTHc8Z2bdqV61KqyEyE4dw1dKFhXtJwzbIbAtW5yoIcOfLvxhtLMmGQIZ6L4xmPTRYnxp1K8L3
vuXLLUpxHZv+Uw0qcj5otcPgpArxUyDSTXeO56EsBCJc9IsibjaTFICxfMObxtyR7DUA8n30snyW
6wb7jrA8+3m5beX4M5KQwDN+dg1r0zfclROCzeKGNvJ52rbYlfDGo4YRyXioFD5vc9wbgbozfW3X
2NA9JHR9CgSb7b4RfnXQrmIYSwkylWCgxrYg/XT7Jg+PRSi3HcjJXiC5BY2AddDLh0PPsDEw67U+
NEvFh9ZkZqsQQkBSu0e6GvxZG18pjtPftoBS2zwkRbhjxSGPZuOdanbyZT8uYkdhyNdvqrBCI1Rv
R1aADlPPAhQ+kfFLoEpEkQprVoPaj31x1krAOqcg28bB0tOPxCfz34Gxgf/QNmcto41mzlIfyQIt
wR5J+ZP36PPAnQ/uv0p/L6c2Mnllysr2PnL1YZsXvDUiuPdSMAQGaOHtS+bfZfEtGUf5UcuQncGW
9VmX1jxmeDCcA86xANZkIZSZDanDDQScVRaYkLKwAasCB4V7xj/buNuOg92XX41+nuD1pscMRd0a
uLza9DlNNn336tIv6KA1+urc1tMLMpiMFiSvViX4M/vlc9jWzM7ZsNNgBw05h7BMdHmpcY9RFdUD
+vYD6Vl48qmD9gHBE37BeL8AQRwtK+WLP4TsheDppPeciyfHb2sTs1vPXC5Jo3IRk++T4WIXi0Zd
j7SzVL41CdtG+YzEmo+jireKdxL+qzT+NB15+d02XoVxs3R6V+i9Kspd/abJf3zfEx/i9VcC1tK3
32G64TsaKzRj+6WcSHKHDChhEcg5iP6mZ1rGbN5aIhvHBKOyIo6iY4/KywygjzMoSDEwKDZpLE1O
7h8PuKu8WQ1cQvwoNRSO2oa2jjW7I1V3jD9CiwnSHz8IIyBXYRy71R4t6EiNa8w5KPE9Y3bstBhC
JL64DmRzNfmjPyrCRjUKJC7rYpq1MRU2x28dEGbORI3IHoMYH8X5siPEaOyLEh+Jk1fOvsOg51iO
5kFmLWKCeErWc5YSk1HtLrxzr7OQi9y1HBrMeGjCeXPRlZK4wFPEPqev05Xpxcuwnpyz5dJifu20
9AvDBukHiWgsiMnmiHDw6t4HqGVSH0DCpkCK/S3Y5J4JuxfqaJHqmW8RoIHt3b12zm+QcCmqbMMg
7xiMkk2/Z+n04O0PlxJxW0N8VrYW8UXRHl6YsKN4JeGvqn2Ihobi7PUbsnXdZchR4VjH0PnKTeBA
/o8xnJ3khO+EFSKF/JhDJZbfE9pNw9LWHPrmnLKDGVhf/ddv08k5yacv3zrxTIH9jXRLLRyEuHim
Pq7vD8qoxPnnq++WBk/kEXFUi1vTsoWp8fRbCS0SUvPuadl7m48h8KqdpfyLa+KEn0F0GWmbCcoY
9QdPh+PsAuUix7sPm5oBSqy9IpYO/vjhZ9hf4VSz1eekmYWWOeNCZWbO5ln5IAwKMfotSHA3KVBC
PnqWsg7CPh5H99Vk6nKMBB6ue4lOpox/e9JZWsGhK//MxGTxx+p7UDByzhSDoCpmpHl8Rwdfo3gx
ra8w5qWNPhBN8qwYyja/kQ3hHmkH60zsLojp57KO5+zwlpnlXoc6Xk1fpSYoFhODrBYLn1pjGr1V
Tr42fTSMPYQv0ZIHCwk1Qn2KMFZbjFqwYKqEWSbAxoP9T0sXbq5tXIXUQfS8vcWVKpr5YHrbgGmT
1xm7PsoXFvvUXAFoRg6q5TKSNLplyBXcQcQ1wp4kEP5ZNdnwt6JQD53fXXq2cbHJw4L5OSHBsw+i
DT0z6UVkObUOK+ubH3JejsZRGvlaIN9QPFTzlBi2CJaOmix51WSOp8uspFbuilUaWovRiRG+iM9c
wjopeoLDId85q6Ezj36JVysL2IBMAghWMv7Dh2rhRAj1GPt2qD8oD+a5Hy7q4mYGEamMpNoFaG7k
MhjZ8mFX9kwUdgh8YxpoVVWgDUZLjR8h7HnCdW9XpCfppHss0CBHCmVpje6T39pB9yRUFM+pNRtV
VAEaXBANIlYRwb4m5gpSiGlAhQOEkABkGjX0wD0HMPLImIVR1rFqw4KTxwu4RbMKLpg5jZ7rYp5R
4lCbBfW+JwEmTLtjLcdFgsojDSHf+Wz/WzHv6mHRdd5WYQKENlcAlyr58/rOXksQnmbcrJzBBurJ
il1XTw2ztNFLFu6sJL/E8IyF4gyLwSVfnS7bAlJJg7Mw8249dNheUGTUrly2oCNVpK7S1hAvjbhw
DpaFcp3ddwbqza+dVcEkiJHF4DxCEW6TwlnTlzRqNrcbot8U+6Oq3LnKYJI6nV8EVfA1Cdf9WG0D
h/zP2ajsLRo6i7IqYvk4MANxAf+o1JI+wem/HZMgA8VJN1mU/5ToXc2ZOkX9vMMXG9nshzAquhI7
XPtdwKTJT5BpHXZwujXLphV11CAsZr9LRFsQfdgFAcVfkuX+gFPUbk5G826xJcq8TWVdI/PHUL5a
ev5IpZoRlzK6hXh3MefvTBEt9UvgH/wsYks4trym6pibyl2G5Yb5TLaISKJOK3mYWsM8H+cufp2e
kJTsqgOUaZdxeGpBKsTyU+vvpfi244Pe/prpupfvqrIM9btDgme6itRzWf4kzmYauw9Zt1Hp5HRl
H3ZzEOaeeHoQg4uL2USLhGQVUfxE7MxkjeDOeTViP5mOfHDpKEBV5zvtUIRfXTYaJipDz5gkJ/6s
brKFaxO6/hno5qxjlBexm+vMH3XyZmJgWhpJs5UKvjlJQfl01UeliBn/A/AeVoS5Mlw0S9gSzEuR
4kFMdpYgewF1HG2gBX2SksQSOATVivAiksJLIozZgk1/TJJgnrAH1pMuDcY08V5Lif5cb8lZv+nu
eQhh7FNc1sC+cSCygUCKpVrJv4bduNCrTc0RqkQmq3m5jNlGtniNlGMl0Ph19dYvSWEJYRv4PgNc
uPuwIjPIGKVWz0v8e0bPOsx6pNyHlduwf69WIh1Xvasvul5Fm9ov87y6KfqXxzFtM3gFUy7dbqa7
IeqvauUW+rK1vLnuyaWojXkbOcs2L9Bkf+kDbQlcHNc9VvLhacHb6J7jzEaqb0P57Jcl3gPV8ThU
dXwP8U/dYHiLePms8vqKOhC0utER5kMsdXzKIuPMaFgdYt7wqdTA7kHGXucSnIKKuEBGyiYX3CSs
erJJaKxTdC5JMKwSj6G9/5kidwqRVfjGu4ZWGJVVQfrZWGTroXbBo5iLPoLPhNpCjuQ7Dj2B7Yjv
MbvmBdlmJGqQ05toiLZSDOtsrjLW8C7HY6syma5Rofz1VKAdqUfTeRLCre7Z/eJ/m9bsZTtwCz9r
NkSpw5rFHBfV4M36vCL2DyMlL67GbNGQMRmzdZYoWrSdFvMoU14rs0DjH3DV0YquIvnMQ9RvGDko
72pl17bghP7lbMgyDeNN8qfVlN7ic2wawpP8OUqzaaCaL9vSfjPowMee6DpFrnN7XHBnkQu0r+F2
WySN5n6zLztn51RYLLRmJQnOGBLQoUYuWG6wh4n3bRSQBNW0XALjCeTcJ1KQhKmzOWjbTKQHza5O
khdOR1yG9Hq2WZ1jw3gNSXHIgYKN4mQI2DA2j8abVuCLmC56M1aWY8M1UzEqKftj3DWrvCFXKRZH
3w1uRSuek/NIl4gctVDunJiHQs2xhRBRrx2nJ0CE2rod1H/kdx+8zAdn5qxLdeBBq2F8WWDW5NES
UO+yYtuN1nk0Dp4bfI9RdvMYTCVK9c68jslzBom/BinhNf9ANgZ1dYszAwUFwDn+VEUMP9NgsKmb
Y+TCVwonXkB59Imvjh9uA2TLRbccPxI3XNjYoqKwfzZZBeaEaqX7iIG2VIqxiQd25CiikFVhLoyG
ZeZXJy3IEanH1Y4HaN8KC52JwZmGJNkUnwIhxmQzUMpP1WZ3ZXb/Y+zMduNW0mz9Khu+PqxmMBgc
Gr0LOM5ZmZolW/INIWvgPEZwfPr+uLtOH1RdNPqmUBuS7VQqGfEPa30L0u1yFk1+YpCKAgvRetjd
pR69puIGm7vuuqMRTTOy7LziZXA7xBmx/NBBu1dx/NON1Y9IjA8Ru7jQfiIA4KHgTZotUFsh87Tv
6cHxOFcCmkcCXt9HNA3GZUpWeGc14wPL8oPd8arr7kaJ9XNA2VmJpzpEDCPm59AizmVyaJuatPjp
L9khcKmMPfdrjOuTXbR7Mab7boweptr/wT/7mLvxjUQRFbeIBUe0m1YBq66k2Pe88TYMsen1lPJs
vO67VHPqoPqNMRx2DeRFpNyJfE80yWEduUG+dWmKYB809zD8twF5EDkPW8aeU7f64kPFolNft2bN
Q4x6fGaLJvsWL/GDXKa7JcMqhp3P6lCRr3jThDB5BEQM47MC2AkryoEbTjjpdT0sL0jhqM/naz75
aBNfbOzOBeNN1pa7mRT5XtHMLf5jjoDCdjJwrvk1Pup9AFDRqx7LuDzgLLfi+cUgUsgSd4/GlUUv
ufJR97Qwxu9joi8d5zLn4bUyTOJ6psT1OVoIDB9hmEJX9MCKehPCH8mx2MrfC82cwJwVjfZXZxc7
MapjNsjznMvnIrb3qlenpmHrSUYroH+UB/syjZ+EMTfoIL7i2t3KxJwM3Hh/3A983AYi1GG0FyY5
tShFErRZGeliuVPsF2V+JybYj/4DEr/t0BY3HbVNWl/msGJBxMKDqSzM8pOPlWtWMePQ8q4eyCZo
o+d5qqwtBcnt6F1EKIiMTwH/CJo2ple211MykyWNLlpO5U2Q6fupPhIjC0dyiqybsgISKhGk/A6C
6Sh5fpcSpyHwjZStcUA0bs5lXy1IXBZxaUdscb2NkFed8WH/VL3/NX35BJs6AfMo95rNqIB+wYRv
4wa33eg9zKt906jPdbrm5NHZYb/QJu1du/gXO7JvanvGijkfzASIyyMZux7uVvFAS1c1WgtM6Oou
qKDrVSCp3MDaS08fRaPv4hEoA+ZsERZmTzPyXQMMEHEEpNCHyij3BjSBmIczOOHeX7aDG/ysO6yg
EfubOtcbZhIo35ZdcFNVyK4D6tUYcwK+ldxFF2WaxxClWlqiNkBbKF/U0O0nMg+4rVj3Zd4mD/qr
gR00DHsx52BrQkLPcXHkIRvxPnroW7qIrB+3bTlfJlZCJL6/tYacOH0OqvKoQn2R03AqJHRmZpaD
yi5dgjSzJ8w9uG4nPHoXkaBPqthfjYqAnOZkLKi+XDpWiurHY45vnA156iW+vppLkMyDhnWB6c1N
9KNAsJjN731T7ps53ICSk5M5lku9z9FOzalL1FUAW0CCmXA2Q+ftbXvYN+DXa8UvvmTXFemD7SJ+
qadtCYG/nA40kydN6q5hxu8R863pyPFhXlqCqWy6shbDQp2/+qATNQYgMKbBrzaA4v5iZTWdFNoI
gSI5Trb8ivdp4TH9K7fRapxE8ddqA27hdSKbIdoSPR/i1zNQamcw42vV3TDYJDlqpBFVTBXUSlzA
VZcyJ5GrZA0RdvtmOlRZyLdSmlpJOmuV4thoYDsujMHYzKcYbAXNUUl+9ZLgoB6y/U9fwtWxubBN
CPOmxTqIfBWRJDUDkSnvQ3epWHQHya85+62Xl2EdEZVgDD2MPvD8+DHfKqvf1hS5XF249Gr2jfU+
kNg6vbPNGirtAuYzDNxthTr7yUmToyXuHY+kvi410LQpEBMpSNnpHXKfyzVskIiGul/wIYR0YMKF
9dVYzXCqNI6+MEUGpHog1h6s/al+8bsg2bqSej35WS7eb5mZ1wIkzFbY6dZfMPwap+Xfz+Jf0sko
vSpxm3Zk/PhBjqI0gH8yWrxawEdOjphDu8691wI5KwOGNTWguZYfoc4VZaCPILuyc0g0ZXMjWnOn
IUHGbYpot6/8vTEXK+IKc9wp2PglKk+LQNVhWbcqBR+yxIWXsqRBs6+IH5GFcI4puJOwbTjVBKLv
IEeHmblVxr6YsnNSIjl6XD6koVJMQviN4py4RaRVkzf6jLbzrfYjfakxFzq+S3InVmbLd3+3ow+q
dSLIMSqehE9mhZX370D7tkPh7XPh7AIHszIDpk1Ag1ClyAa8D29Y4SBpeuFJWinIHkDbJjo6CTwu
6l+szWTSByFi2PSX8avbvLGeclcB2onp+etLMppLptpjMTZU0R5CAr3MlwD/VlIMJ95Ysc9Kah53
uguM/5hVEYQOJxpA0WWPYZLc+6Lc5SVe/cWTtOrGZl2COADPP6BJhICjhZxBBITFTSt6lOCB1IMf
Eqf+KcbT7AgcG60JrsscHJYBZW8TuDE6jK0dlaAKXP+nqjJWpj6AgnjiDrER9aosuOp61qpJ8+hM
6kt69yRyAGe0FNE/8d1iwx3PvJ8DMbaOB92fV549GqeExzS9TSWRCWyS60PlQkaTCR+SuH2SWYMN
RU0Ht+Dhkno8W/4gD2F1Tk1Wnss+OgQ+Y+TSp8eKC3s8TmV8aRvQK2kaIRvfBtybmymG85nZQPGr
gkCwpSj2Yk4AfaQS8Hs07EyHTzFgUr2Rs9sfOp6idk08Ut3vuPfzXZwsqwa9POZqpddAf5ycZdnO
Cx5Nb1U5kcsl+nTcm8qadkEzfYxt+W4cIjk8oWnRmeI7jOnt7Lkj9ftULAGBXIX8jMBSth7L6j5i
Zyt1eWW3iMR85odt0F6LvGWp3kPDTXMAXblvoIXhpAhYCGzkD0roj9jUOFjyBXmDeKtGJNpjs80q
Zm9drN5104y7DiSkrXibevhaI6QSsZC5WBJPocvCgXuTox0N2b972Svu5KfF7x2M6iX9E0Fo9sKa
exbRq0IIUC/xe1eiaM0lSXUZ4u2wLF+aIfOOMo0uVc0izQOe1c6AFzvfO0asWLZDRUMnXffRhjDH
ru8gyBZtfMD6jNGWY2PsT5QbS/HULgiH5hj84pQuknp4uQlGZjp6GHHXCmohIoXK9E0VMFrH6Glw
YOYmrDdFjchyEPFuSgj1sHjuXeP9zpzhnHUkEVSLIkoR44TTfo1R9DUL5gETdUHaIJ5rc9pSlANV
nMJK9m80rdbWt5Hjh/aviGnPNCHpyRxn686rmtrBuJzK8KqV4M6F5b+GcPMGiDTafcwDmgmpok/O
mpILi0GFflB4TcQwfwjZWqBNiBeEmuX4oCK4wIrIXtiIFNQk4fOoeTKq6VfmYTPOFnJhhetf181T
znjKywaB5Jtfh+sz/rMONVXx98D3NrKOAfHbRAtbHSFrwqqiS4xNTUKUC1YW21KXrHyK8WUI250C
ZhWVFg0b2uk+dqhsaoP3dmjQVOiWauEhzOuz7wK61sRwZ3kKymZAPRvVPlqkcT9VLgvNOQM8scjL
FEC3cJrkVrmvqQQHEEUgR6NV1x0QGwEhIQNFLVzejRYChu9PD0Y2F+k69rZdCDNlu6V9KDYOK+CA
pr8o2p+saW/LoAYKHFknB6R22Lvnmneck5OZky6ix4EPD8xPqKyWxMGhdLtd/O0UUcF7FvuzKr12
LHchUuW+/eudaN1s53TyKu+ZG+mOsLTeIPJQ1l2LrK6g7GJ+imehL7F3TfQ2fqB69KAPLTOGAvEM
FraeoBeF93Bs8b6vlVBu1I9QI+4Mh5OIG3ynyN+7mKmX6MxDITD7aIdipewWmEzgehBdCbd+dZOY
LdoUY6rLU9qoDuoXoUPzYk4y1XJbWZzsLa46NUckYjN6sSqkN2PwK9OIFCe7YlWv3BYNyPWwEAji
BCFjeQviHBLkeMCFaEPrXt9HQui3Hiow7XUPGr0PnCU2S25Yv1RRxxZMMqBL7jrf/mQ58Bh0HQGL
4Z5oX8T74ViiB8VF53mc7r5AORj58TFlk1NrcsjykmiHtOuveC4xKyYY0vRK1JkcKBhwAeesQt08
hMEWBcBzYZuLMApsEZEgnNVXLuJfmrWXiseU7Vi+SVKyPhptdzvbJmbYpB9qILVgdlp6PnC8bN/a
Tce8uLXUkSeOTdnERz2awJAP7P2LLGbtgKHJqa1dnft83RVo+NC9tTNxRmH3jqyWyaqG45hDyk3q
/MfgMKW1PDyGiv7JjyMkvcyGBh4fZjQPblEV2wHzKwV4vRlHjEVh1sdsI8QjGNHaT+2N6sKCgGLm
ihXZtCgWUVJnDOpbpyHeUoQAJJZhh8dwjkp7a/oPVUUUge7wojilWg3HpmfPozr3sULkP8gKUPk8
eLvZ1LAQgvt48teA8QXawMC2ukCykWj7JZNURq4Yc4TQKPN6FLXU3cvOqcwLxrnczaA+ePG9bLTL
QYZ8KU/8s9ez/Y1YjfVL3m34kGLKHm4ym5G2oxS+bUeB2SquiGHAbMhCa7D09eSoj2hh/zCoT2vW
NvvWiel/wZjM9dSxKU7lCEHe6PfGQqCyhCtjn06lt18Qvy7sAVVYHCwv+EnBADUu5ZPoloTlWumz
yOeQ4R5yprkJb9LuvrDbNQMEMFTS4xsah+mpgT3g5my6cZETO+Rky+ZhMXmB5zPCRugio1Vp8qwC
GR89ycwyHULvkOmCpdaAByJs3VPElXqxoMYVZfYqK3U3dzZx1+1Horkyrdzh7zC/07pRfNIWqCPp
c1OJ+dJVd3Ed8duwmdP0E2w1P4AoRcs6xDXmKicmIhObhJ2yEFmqlHkgKMypjon1hSsg5pbjgNjM
YGHAluvz6LjPOioB8bh4e9PKrtZakc8NG/is1w3+xQlP+lz/8rM1hLFkz+DgoYC4yzjdjh+k0/xk
7zJ7lHNWBodn6BQDxei+CGSEa0A8ORHzzjafbpIhIFYmku5uGPPrvDOMrYL01sknvFjUXXHK3qHo
NPCMvicIhvl0Y/8iiyLd1J7T8FxOuKrG7gPzIurYBauRHcld7ifmKiq8+8aYt3rImbSh3jtoZA1D
79GVTd6d7yMhHusaWxRtSFgE4hD1VHA207aGQ92tyfA1WbzONizCV02wXqOA76Yw/aH65MOXZt7b
3WXJsQj1FMrfPRbMdDiApoziiWQYUPY0k525tpbmdrJ83K0yD7ZORiBbBF1E0yFmUcmMaMTUJDUT
hjxEgztfedKQ2CNC5i2BfZvbFPAyhrda0UB3BepIzIFRWrHai/sjaTjbXFqQXAR9b+8QqzxmmwaZ
9kZM8vcke9akGA3ChTbTyuSu0cMVuPY3JwkxWnesoPIKzprNhYJ1yJW0n2aVwnVkD7hxYwMP9J4i
F313mgTfAx1gCWyWcutYu8qfX4bkt9WWr5XVvpqMYUEU4mSpU/0SJDHmNsOvP9bus1BPWQXdG9or
cYE+59FodiJ3vhZKVx5jboTM6jYJaadmgmGYGxkipSkPRVofS60hHeIywPpZW3jg7FDsZ7KksTx+
1wn0jei6GTu4rbA516+PNWUiMkNCOy7jGoxnXCblOcK8LWjpKITmqxvrlK1Ki2TVJicRbh211tcL
U+VmNbj3Wv8icv3dR8NkL8FZDMV27FWHXo1ihPHKth+IsAxqKuR5FI9TzIKcFHdmB++uCgRwLV5d
Gf72yolYwplQyiRFAsRAEi4G0bbpWvIyR2TJRO6AL251IH+hpPzdLO2jZ/f7jPnSphjvLTms6kgN
GrD+WU0gDBL2WjpekA0Uax84YZCWgrxuAzMlNYcecAPqEj2CmywznCTeuA9jWB5zahEb3rOA9UEt
9c6FJLcRRGWb0folAy20k7Au1pmBtiaQmrgnJ2t8nChVuass3l4/w9ecB+5RWNwi4+hMpM/Gx6AP
EFzbEp9UEOyXBmccoq+Xqax+JzXzpqVjSYJk8mdQayxn7sGaMsI+g5CVBzPHtIqOf32fSeMdMc8P
dWk/ydh5YoPxjkH93Csqa0fSFpbVX13SMUkq3mZ2kcOa7+7AqLSzr7j3bnX7mDEoAFDDh2xehpfW
Wj4riSrGxqIY5c/TSO/jdua5lji6K8oyvbALyu+d1iUdsPhVk+wYtPU2XGACVEwI+lKhKQnVwUCU
Lfnbv3vrvywt6FA2t8nMNoRwjIVh0UpayfNtIyz6W2c8BBYxA1JiwctCNAe2zWnFn2Je9Vsn7nuJ
mjVNk5ekDCHXPqoRH6frFd42VMju6hT3ZIPMkIuL5S/LTo6Crg/ibZvoXx72sirBP9xKZJmJN7yP
jfWswyw51D/7KJvIXrvgBXjzkoUWUwNpaVkbJDUjqDgZYSqG+ScpHs6qmnFSeh9m6D/oWY85Akgk
TrlL+bfpe6ydADTO7jDEOwCvYIF8l4B4uya594Kd8HMwyX3q2lcm7zF3U8DUClqB02sXJzKioXwK
413pcbUkO+OReuljRmii8NiGNC7NGJQ7pbi4/fUjZdQTvt1bJxr1thz4nYWBeZYDArLFf7ct5bDd
gjjOWaXmXybGS6qw621iwz/J7VOAgipvZE5zOfeiPLejeSnD5zJ2r/Kq2hTo1GYv47abCsaAmMJr
dqBFVc+7paUTL6bmq+/8FxEfu0je8YrOeYxBcfIQtkEoZn6d7ut5ovToGdGMufiUpJFGhv3eEtZX
aTivU0hwaNbgH6WPOCofoaYvFIO9jKetH1Eky4FiO4kj9lHTtoVr6vreSze60FSlW2+5kSbW+w57
TK4u9nqcuXqYN5KXxHw4jndE0T8pmyEmu87nGJoPUSgze45VyaeKFxMwHOmmemQ/3YWbckj5xJvZ
2rb07EsjIuQL44djcdZ1Mc3QtMxHrwH52Pl82vqGzt/1WHH2yVkV1B5TGrTfY7to+OnXCkzsm8T6
YYfUgVXS0MoIeTRqXCkdqDoi4mlYzWQbJss4l0X9tXSIOcpS0Mwr/eTlyIkQDBzrSV6HHOo4Jnln
2oh3zpMFVr9ytxDfAkJ0hNDZBAzOCzA+JRPRtk2DQwMDc2pwThVqP0FzkIl9V7kIxZvIgpc0EVbZ
GzgpDSzZxmb3YtS8mzrSYqkFRVrt/KSJEBb+KvTzoij781zimHOAHkgsq7hBedYUO9SqBKqvoWhU
XY1ggWe6cesrMRHybGK0R5b2T7TW27jk41i4zELGDF5REjMxGg3bIkZxeCJW5FscIGCs5vFH4Pj+
VUOz72fMpxmRZwtKVw8rve6r7FoP1oPhHDvkU/smW9ZtwufvVV5fnyfW+TqT/L7smopVzI+xX9en
cPLPbV+vAuvbqrb9q5QF5kbV4jwnnFVNEndH6sOj1ZEJHVcMee3IolUgBaqIodOq2fX3i+b4ksX0
GtpoWz2/Tb6HdRAwwMeGhvB3pzIej9SBdlz3sDtGPpmsvOxbeAfZdqownHUhERb1+LE0lHomau96
C1NTzlqzDsh6rImbqXL0eGlv9JXbq/tgHurHCjEaS/yeFdYNvQ5kfRsccpTg8jAHTvx5Z1eEii3N
K7MtyiwZMLOhRJ8XbJ52gZ+RC5/owu47iht+o80jY6iAfjZ4VZG4UTN/KlGCRrnzNzUihQ32mSMj
SRyt+yEhNGOy2x5ZCcOipZnQcSlSLXMa9ClJjo7yAPQJ+1Un0kJZ0F8tUfdZrdqF7ORndJpVAerX
T1dQ50iVJL9HtUM1M0dQCZphF/FUyvyUe/x34MASh8nR7dDzc36RJdrm7k+BUrO3eMzsVM3sa/sv
5jkLGi6wjxy1FaLosLwYsnWDUezLpj6aUn4s9UIsYMkJH1q7OPcf7JIUF3daUY2J/T4aQEn1KK9H
gdxXVJ9R3IybaYKPLDEdOoAelUhZ/MyIYRM64lbUBVm3zaFRAdLYXLP0rNJzAQYEjDKOmsb3n5Sq
20PuTls4JfFRUyEjGAm/cp603RK/yqyrjvGQry+ZNplW676JJavR0c0OtZHkgxPwgLTLcrY6Kcmp
lVZ5lB5it9ZMxaYBwBYwNibZl1J5Dt4xVlWDgJoTFO98qkCELQNnf7Vs5tgFPq8wwcV0e2IcUdzr
kodec7h0GgU/TzZRQAN+j4mG2VITSluaFRjWaNyiEnRHzjTle9BRw8hqJhAgyTW272Yf5eaX3dMb
pUPyY0mG7pgSy6WYnWifIW0aNdclPrqkRSYbL8gK5nkeN2NLYk5uPRUT05tAt/LI3cM+UFS7mOjw
rsyW69QVuObj5Qreyw43BbmoVfieBT+mFgK1Z6PdaOL8Lk6Hp3IOoFjVDusX1LyVz7m0VKs8syjf
GtFdDykbGVHysWmdDBxKdZ8UaNqdcLXSJ/LZeNlhkvOPvvLeS0G/FOUoMt2JnT0spp6wmjHjg8kO
pFzA1imWuQmSAdRPX3YEKb2UJLD4SDrCcFqtdn26zVjUHeLwlSPTbAStF1YahlN9lW/CoHtVE/e3
VBz1WngvibHFufXR4zkaxXzqvHFX7ScXgKdyYQjkSYOWCslcYSWvbUzllQ97Geh6W4fbUSGf9Ghj
645Cm3DcgJssHIm/SaBvxcAVrY59QRIAb1/vFhwxe5c1Pkmo57To5+NCF7bhu0+qQoRZcp7A9lBf
yBCLARDLWKEEnwz65fm59aL+kPGsfg/69pSriFlgSPeLW/Ku8r1nUXhmp5acnWPi7pIYbkxvEb7q
I1w38ZLtQvgcUxKBf/Rctntx/5AXqFCxYEz1DBXT/5gkI1gd1vtOYdqY4+hpShRJSwUXjdsnn42j
FfNK62qMI2LoMwwyxBomXcRtPTP8yCeiNx0qa2j1tHJdz9gxfHBK2tLIFLz7CUqfwZvbQztdotAf
udFtEPhuQBBbGez6dt3idUV0mBcGZ3OFpyLIy/YY2buhnq/nEE9fXbknz+nHE6CT28H+YZaKFPSh
Qohfc4FgxmIE4Nd7UEGq4YnqCOrUhFOBPHifANi2RfvFgjHbydg6qtGBARwyW6Ufco/0DjizGRan
qbr3NeSFBhMA/nr0lPNt4rbeFSrK4bTM3WeG6gOWaWFt55HeLhHPTGA7FJaGE4FaeDCKLEN7G80p
iRdesmtGg36dHGJp+RHfU9wttRn2KcpuH3CTCXk/EY8RaTFWO5mIn2XSVDu2jpbvhQT56YeJiDUN
YYZUDJKxfVSoS2E+U6qeK+EP9xYpHduuCF/yKPod6y67SENWROwn0Sm1GggoCOUKl0A0/HSo+GpO
+MRh9umJeL8UNaOhgQZdF+9oF8CTOg74Bndqj14QfuSjd8p4HDmX9O1IVk1vF+A8LXT0rDj8bR+e
S5d/wwnUOQmgmqg5lWwYfaBHlg3+bemsXVLmT8HsAKufQVLXyXs3IOur8gHsGE97YasQiPh08rpz
4o7x3bTgzl6oZhHiFdxT5ATFOfvmGCdMWVe37miX2ylhcBnhB7jqJoN/kBvMYZKFlW8GmoB6bYSR
cPAHoN6mcY9+MJRbhYKrcOE/OE4EdKhiSM1swvOhtHpNh6mUhSiOqPzVExQRbu+MW8/X016W9Uv3
ni7hIZZ4WDQu3WFoduX8sIRpugsQlm8d3s0gh6kQp+TFxVW6XRrkS1zIbzz3bwSH5VTV0+fsuuQ3
WfiDFvbLobCaS2JRpFoQIXIWQLmz3FSdvzXvXaHkXnn6yc2qy4K/c+lZrWNnYj9Ispj7W2AT3QU6
h8ptTQ/zch1o+sW6XYDfFYiZJvTWAgBjHQv5GNLVuwmhDipTl7ynwUzd8dpYEHHlKsmeFTJq2kpD
xjO1Yo+kjRGm72xWbojlfJTrZBujHpid4neGGxyxAzg6Lv5VeYxSNEGbGRqmMFWG/Ep70jvSaSQh
7q5Qt8sVp/wx81mpMh9lIqaqe+3I63aRlJ8jSoy1hylQYGKRo5WvW2fZJrBUXTHd4b16dZVfcwYm
eMtVA/muQzM4wnYPeWNqPZzKSMw803dFj+R9sTDQmMiFmxohUzfATFeZmJ11EbDAad/mnkFAmlyh
cQXnHNUM1EWAa2DswL2j4A5jwnpcJO99xPtWirzCKd/BDM0E6EVIgrnieEAxRxhNWut91nF8jItm
MhGUHBcR+098dnvZoZ9qWyaeJqEQhU2L8JM2uplG8gNRifmiiw9zY57zFkITds9hW3b8v1E7zx17
k0Trajf41Y0FMG7bZbsWidoWWXWK2ILrKA1LfbGTPfnD8WWALs3J1aFo7KGkdYx2rPTQxJw+oVeO
xywxt+7gc0xVHspJL3iK4hIRu2E00rdgW+ZuuuSOvxw9m+UuTmTr+7c//u3v//Fv79O/x5/1XV2w
aKz03/+D/37HTNilMbLDf/7Pv9+8Deaz/evP/Pf3/Mu3bB//79MfX3X3x/Xj/ul//M7DZ33zVn7q
f/2m9RX999/OK/jHK9y+mbd/+o8dt4mZ7/tPEFafui/MX6+En2X9zv/tF//4/OtveZqbzz+/va8d
xvq3xWldffvHl04ff37z1V/v1X+9Vetf/4+vra//z2+bT4z6//rtn2/a/PlNBH8LPNvGtxniWLVd
L/z2x/j511ecv9mhJ0KUmqEUQeAG3/7gvjPJn9+U+JutgoAQm0BwUrtKfvtD1/36JTf4m3Id9idC
8cfYd/nf/t9P/U+/wf//G/2j6tG4pZXRf36T8AW//dH816/6r58LEQB3JS8vCByI5Y5y+Pr720Na
xXy/+D84jnlpGUaMNgG97juEfhp4DaNeE9wbEDA6a/ZeaXPT2dl9rX+WOl91ROxkGsl+Kgk4W1Dq
M0QI3FPM8um7maMfjiAUxqB7bpLyEboWGqWE/BdCRzNiHyJlVy/5gwpJie5rQeNr3fMHznZJ72Ni
+ooWiUW+xr4hWj62MFo4qJiF413+Lm3nqUOFLQRTTC582WeAgAP7DbwCMCt3a6GV2qUJk/ZeIF+r
W0ZqnVshOpDp7dDB1KxsgfwZHV1iYUlh8YgMaar2ywI0iri7W38h63DCflmtabBTnj8sPVrE3C/P
RY7G2fcYDnu6x8UZMdEcG33jNwb5Li5M18GR0ptzL1HNmIKJxxyG0daOQJ81YaK/F2HO4GCSLzGt
SKz8Ky9QXw5As6u+KX5Gov7wWEJ+X3TypXX5YhrHOTBL9TZOdhwZqZM3V976A0Vrq8LrEIMoyT/0
gwY6foU82/ZrsH0hqzjpY/kdw0Mrlt9ZYf0EMkCuboCmNZuutE0KnQOVeY7HF+6rY+Tu8+ozyUb3
kAlK3zmWHGGMN2UItzOIsR5kDBVrlukEyqehtDdl1T/rPD629fTLVac59N74qFExJvkeZXBxLieQ
49WqV5qJqDG4mvq4AjIaEUDiYiCr89w7mljeR6PZj135K5d0IsSK5eIxTSlJi5zOlunY7z5AS+RV
4iEbe9Axq2SiRubWhYByqqXQ+zCayGKRxLnnKIlYjg2bqta3ZWaBmx5WkWbKDz2F9wrJLaQPhlaL
BH7H9i2bnzvtHK1qDacT+QL4ILsygguCd3g4lxyxQ+lxZ5VueBixTcYKnUqbxoQG13wqXesTWDL0
9avOjD9jx0PKMWSsFpdfXrpc2XpGchAO9EcwwKvkslhBdepxGiYRZBYg1/RDU/zaFD26XJd1k9Pw
bucA7Ny0Pal2AgVT34RxbQ4+vf3YNKS+yzVmVH8tMr6JlIvpfc9CJwKztKliH1YVuziuvOalWdZB
QzHBxl0dYxJQpA3LBYXcquFnp1IuuB2sIr6qkdpik/81V7C7+shCGWFhGtRtCkAW1Ec+NBiB+1ML
3OzStyuqZxVN24wvZjxvbub8iOfoMsTq8hdcewoooynbeze0d/XMyZAv0M5YpyKRniGLL7n/E4ep
2DjGu10a8jFHgryDBnmchvOdlxN2AJifTkFNqFIOgLJFyCIV4CBHQHJTiUXGQWAdJydxdlZ6tmJ8
IstHoZLuJLXaNCkfJ0q86zhmT8M2mfdkJtsnXcR15Jp7nLhoAK/wLbDumCB3L00IWXogN9tH54Zl
aiqtm5gAALsR11nWX+FZ0Edd5CzTpnJn2WVEehJTAC0fo9GV2GueDGceWmGvObUifx0B9Llxb4P3
VWYz98HjAL/hYPvc0tSrQIAlsxF0ms1VhqwgHfVwVCqBKb+E2dapkOlE2VlUPfxTfxVNqOLKnhn9
su8B7uSTMlMulB8FWSeMOwYXirBwEBo74zFibOu78q1KYcH1KwEGTBRP8cK0OIBd7k/Uh+zDtCtQ
XGNwQB+N+j9JMWpFuv/B4NnFbPhU+SxR/TJ4H+yGyVtoHhHxpLtwOBqq7nj9pfirXCRwi/dMzs8T
6F3hMxtGxSUuDv5DfnBCiN2bDq9B5AqyecIbZnDvMoVDiRzB3iUis57sGErp8NTNODzEEA93BS5V
26j8rAbnBuc7IQmy/yjLUqH1DvPzPIPs6acK+OgKHux05W3CiXNqGMZnTwUQhUTD1I1WppVASDkG
M+REJWHCT2QoaJ53G1i07LYWy0Oo7d5NtHiXAbPmEdLwvZOw8V95PE7nXvKsD3a+AiQwWy9mKcja
GTl5B7gYa9QY+KaB6PmlBbYkhn0IErf02dF52uHWM1gG3Mac2poSkXWkgBJE9ANSBn/fFHDjDACK
Y7gEn1nfEC7NvHfLGvw/qTuT3ciVNEu/Sr+AJUij0Yzcymd3uaTQGKENIYVCnOeZT18fo7IbmQXU
olaF3gTyXuQNDU7acP5zvgMd5RfPBUBIbfL7AWpDGDmE/9rqvpmCBvhD/egNCOCtcXaJVsMmSfEY
mfvJzemEaFcCNlUSMWtinxKGSsakPq2Hxqm3z5gVs10UB0czju9xK/fATkD6tTkvhUXr1BxX6kA/
+MZMuLO7sp2xCMMhSxtIu0lMNskE08H4y7fVjh8M7ggxGXtn5+EjQ4d74eU4xXzvFHC3AMRtPphG
EVMa+BTnrLrYTo8heEiPXEX9OIScjH8tc+9qk1FXwviAKc4pV8N7Ir6JjJHxYUA6xVy229J+0hoN
L0PYSlrYCWsoL1TeaylWIRn66tBTUGTr6NFUYwHCjGdd2MciktyRSsnIVa30Q652t/E6pJDh+GQq
97lsItoNBliWJoFyhn1R4khlUpnPzVHN6FCdDVjeI17UBJ26sDITacMg5dVtfkmXbrwPXF6FxF22
iZe6H7FZy6Z684F1AYZzcsi6ov+QnaAIO8Uuk3rPydxiDajI0i5aQFesimJXOPW892A7bAGcWsQP
422Oa/Q4OnwP05gUu4A/8QG/T53DMC1Wgu2PUe6QjNmpslYIR9He9sT37JL5a6/ShHsrlv6iDO4C
pjqnwRKMXNEeazBALdPL0xIVHzm+xxMTWYncAMwppm0oZOzKSGs6mmUcbmfbMAQFRbipVvtlRBaz
n5KATh6X6P7gfVROnB3Bh2MMSYlVjBm5xxlbZDqDUFp4BayQMoNYzefFB0bRypYCYL5cDQhYlpAG
rMICZh81uFojbrMx2wO3XLx4okV+UQkTPQ85cT9F1iOhhm81hdld5TvvHsSPw4BxCL474XU2Veso
O6BKIUV6ji83SUJfSxPN4lqF7qFd6mRF2iYwJTCWiSXHSb24pCE5Hw6BngHwWMD4cvsaGv+eE/4u
XdLsNNopWP0M45YVmaMdJWjYHbCn1O8Zk/nK/88vgWt+a8q1pR3n9VF1tnosF6hBqsahHYz4wAyF
B8h9qKe08uTzSxJvhVtb5ywn2iyHMXtUDTaisIj6cwLXAGa7ao8wCmgDxhHrD+MqOI/+GpR70kwG
Vrc+9RWCt1XkwaUqlxH5pA7Paf2lyxrtWlfh2S0gV7qlS/AbUc6my8ZCHz2nqrxT/XjLJaW4tqVO
H0TIq1/0hkrHZW/V7P9JwPUUqzfMwrSeyJdEOAWX6YPbxXL1R/taRwUZDSjGJX2jnZmrnXKskzVU
NCukxP4EcDqt8aa7Wbndwt/rL25MLp39NtwE6Bb3IqY5Jc07UE4xyAGdMTFdmP32amr2lsImZVlU
rRAg4XfS7OaByuygyT74RsWREevJzakMWiz5J7MTb+cXpCxVNbcXmrQ0YCqNROfG4hDY/e92jLtt
YAuqE6msKUa0QVJW5NxG1dx2lXWWJSa50qJtpqnFfdJ0yd1CQsEBet2P5pym5R+LPOuSv40+hmev
6Kighgg52Q2ahaboauacVSbitWrzjmzSeo2YvMMQ0b4wZQmRStpNXD1DwA+OhUYPG0frvYxpv0oG
oswOA4Apn1zcViWpkBBveOM7m1CwDA+a0xLgnrCiUiArcQeh4vlov8wNWD1s6kvQDvcBPjvTSnZH
TKJNo6GBUOCbl6udinK1LpsWxI5DN4O0lS2jGwzYmHG5x5QiSW9YGP70VHiJof7DeTTbZ/x80YBe
N6r0XOsMgEhQHwdBVF/EMbXCwXhtuoA7QvZaVjUTYr/4jG1Qz3XTc0mSS3ckgBJskpYoCYlqKm8b
y9nKLpk/svsEPGhNKpgrU2Fve1YnmrHJOkhBjN+a8Evz4iWUZiG7YlJoA+8zU4xRR3f+EYAhq8KJ
0j0aQIPGJqjdkRFsK7ULmHtsxQR7G707wSqpT2qGOcFcORUOA9VNSF50pUBvh6ZjIQBpaooHOovO
jiCB3VbAtKvRgnVGKnV2vRqqg886Paa3hvrTwETD06p8OrVvtlFDEEJ3029TF9Gpk0Bpm0Kde/hj
nmeTcgme82QM10vkpWdyX/qzs/WrbyXksXQ5JTcracDFUVHhMgpbSAREtLiQ2OV7ReE5l/aK2Yrd
7ZGOL3PuPHU9BfEiw5Qjk2/1ojgjbscKbxb+TfcQVcyEnfAapMm8nUiK24c8IQZFbuSljyZ8ohHs
9Lrh7Nk20Ez4DmDWk0PG4o7Ku6CBz1TPZFCOWz6AnSEV1NfkbdJJf+DHw4CL98kg8/P11J/gV0LX
yoRdux35Gfq0JjFBJ0WR9OSag7k+qcU6hDVecpxtjp1jUBgD2H3pZ+ZyblrWq3/0J8743yGk7dIZ
fizdWogbNtUlGqF9qtKHptueLXZWx6XyIyTdIHX+Y0b3xejOi1UG+6arP1yh3pss3bt1cIincud0
9d6XZEmjCNF2HmCXzRAPmIMTpFhrOAZ2GksT22grjrQgzVrDK5SnwPhCwTf1icySUWtFsThep9cV
KbnUIUcwcFFDQtQnDcf7oST44BdcQ2MU7h35lm1lakGJi39OA786gds6OLp8qNOVo420eDMEzu/K
rpID9RObUTecsWi738PgY2jkMTVLOUxtCOMbL6NeqCzqnR8k95OlyGxj4RU1M5UIQcKK82dqve6r
lIFrTiFALX5R3ULd9Zx+Da7AnV3H18hbbxGyvQ1SCn+Fd3Rci2lFNRx7g2ViWI10FLLZMSVfbfhh
VN2cPEW4GfDA3lHTrzoIucl5wwUn4kdbkX8cJPCkUgqqQtj38qx8AXHxFfoc552QKWEcMesMRcWP
55bPmKLxnAfIM7VAHYlHrIWSG2c243lOmMdsp6Yv9yKnd0GAKFSyoBIhQ0OJobWgI+NtXAr5NjXq
3k0iElV19TAzjxlk81FEc3Tj5Rjd84zRbqwbTrA0gNveR6rpM/fw0HMNPFgu+adgBivqKHeblWGw
Md3D5PnQ1TqcNAkLbJcku4hr9Ua1wE7iEU1Y569lTH8UWcSASUP9jVusadfZbw78q6meikISg831
shkZ2CS2CRgm4zukpBZsl4+l3x2+JgKa55Yz6wYC/3uahsmhlgXMT88cdU8SvN+jZFO/EzhrspNT
wFIxOqnXo31c/JJ2dm9clOslBDSCbrcROPo4uNzkTqF2fozNe0m0cy4tzn0Bpc7dQCZOOZpmdeJq
OsxguEjicZHKAdgHRbYDt+yJH1UMvk3L+WmF6vVgT+FzbpZseppS/dlYPVJ6Qm2XJ7HPZO2vcGHe
6MAbLMIvJyacVMTIHIt5T1FpkOG+pcVAJHQtGIqjDxunZbOsvOYytOWrW8cpXRvzBSnpEXjfuihR
y+bygakWe17uM5LKa3ugyCTaNSGgir//D0kwaZOEBLVCu95aODOF1pvehXDvBGBdx6ZjphjUN3Li
BaoC/eL1KCwDez6n7bY6c+hniFHOp1m1j/hU+pesFwGVItgdc6hXfWm6Z8eG7oP12mnr8TyU/SX2
STSEFrfN3mqpkJEk5zvGbI0K3xu628ekeTVp+jtd5F1LEq0aPrIsplcmg6yaOYyD/eKOEwUrCNO7
XYGG1hXESGc35a6i3qMUVN9YJHcejRt7N6Cpfindz1rIz2Dh/c/MuG35N9jYf7XUotXlaQiTbNu0
jCV8phQuC/S2yNzlkOfhQ9DP5s6d8kNhM1MrbYfTRv0cZmhEug4fMLAKDgWAqBYAuE4y7ges0ezx
xbSrZHfgZt1pGjvCEdbdPMSPpY0Y40XRdBupteRIYdBZ3ZXkaWLa1ICGTfW6hSrmpy3NfWkYHLV9
13rsY9AYQUfKCkCJSt5YaLdp4tL8bYsHFyDhZexbj7DNkGPCmb6nWFwYjYynHAZ1NoIXkQNrW0t+
QyDeYKmlMmGBLRTyXDxMMzNrFD+aLoiXpEn1pHs4NzGXnBPnDuQU63daw3eRtqKgc615CfDfiWGN
gmr0GcVJa+5Yy2XrKbgdEMqzKoejcIJNIKjV8MlQR6jXDev8noa6ragcjHTuvHVmQnHNEk8H22u2
nSSWXYnsrSeKyQ52TCzYgHJ6c7wy2ppwpIa9d7i7qRIwZwY9l1Oddh36DV3NeCrnYjUkD2UysbDy
F/OV2SAaovMGuUv1hJ0H13tTi2mJ9I3LIQ05B/WEMG/YR3XEtAr0ybjRqn1L0ia/FsA9AhdaiWmK
W3/S1IECkqoUA1Rm8TQ9zNGtbYWvI8MfzD2dXbLLZNE1MB3DKz+4jgCl3Cy9RYO3d7U0GmiX+KAC
iiLYnoNYQm5aYeXK6vatTwc6oScE9i69S1B99p3fvLslzoCl5YibV2aXgiVhyFWi/DX5nsM5Q9xu
LUNPA1yncCcEyK1N1qIr4WqzN9pxNk3Hp5XM0zeI3OlB0pPLunVmk7iTBdSsIG63tS9gu4psbeVC
3jLAb6yS8PqSJPvIwmE9xBOb81I9oG8/2f3ENva3Z9jFgGf8KYaVPqGcZdDo53x44TZyDB1v2cYy
TOjSSr47nv0wnR/7Fk+iwhjMI4JJpCXNYwcjuF70mogLCyMQjBBWwoLsWPRopWAU2d6O3lwj/iCR
basii7lj4gbupyjexD6Y/oAZ/99/miL1bgnCsYAl0t7QUhf3OMtT8UWHwkO+tqiENsqHtwxopvke
/gXtU9xUTOniDymep0xSjiOTbDe7l7Jug7vMZfJQZpDtnkTRI7Cvvmo2R2eIX6Xe+yniH0Yvsc/T
mbijCbuDF0iwP2MMJ3RNTSAx3Fi0LVnNnF3D4cPUXrot4mkfyeTC2wd1wlDC0SQDdbg/aIYip0bU
VfYc2/w6hPqIAW+CD2zF+IImOGbwgNmdQ52d0wTJPK7co25tvjqPBzcWUA2dX/M8FvnVkjnT2B5L
lN2TrgjRzQPh+3vGr2DMqN+0E4Iivsxh8vdpdRAlADjYcXs77q6V4wyHZpL3MXUU7mp/KgSPrgp/
O1GCPmLBkBnKQB4MmMKi5x5jS44M1pQ8dkHGsjIW1SaemKnnfNGj0PgNcs+jE6hT5yi25I7gDq8+
glJX0FtTY0aju1J/oZRLqnbXee2C34w4W9Iu8uRwsdf2/E5iYtxD/ckPTQrySIy3nAf6jW2jwfbl
HG6xAT7yG25AaROfxGpyZQewd6VdPo41Rj9uYe+hBNbpJbgf02nbBcI+G/eVu8XV9fU9Gx5nxEZf
wpB2XC8EkcjKTTjUy94KL9zJ0clJica/M4XPzU7BMlqLcx8w8t72XscTOiCq22ivuIMCtJg2UxM1
kfkFXWJmioKpv3Mmeqap7MocmAnl3nT9eDNANzil/vgudUgLPZjVqHmzfczMjMQACbT817L6MYf6
Le6R2OghwIVj6JOLOYdqzF0tZ3msLbRbKKaHFt1gm2rF5OBD35SSg0DdOWsTch/vrNF/dKU5ZkDC
CYPyHy84x4hesNp6vAM4XjMGlVyzEi+Bou5xS8PnhX2wqx+jT0thuV0WcvZEZ4gA9j6dOS6gaXbc
2r4keLp2Q8ozMsJ/h0eBUSCJ8GH5tLAsxYuahxT5DB6EzN7seKgvpyHDzJym7Ex5X2z10pi9d2tX
1lfboS4tLUNK3fNwCVzTPgR64psgF0cN3LAPdz2fPdtcfIgLRh6TdF7z7t5xGX0S8wuT+W0oMxDh
jHvoeDKPIzgXrsd+Su8ZK1ie+A8dar6VP/sdIyxrzPqLHSr6h2tCYSIu3i1JgHDxunMMVBB3o8cX
r/62MDUv3tQ9E1fWm7ou0cWqNuRYSIoGf/yBheRGNODblwFVkJt4RH6TnJODPLMtQgZOOZcNdKqC
8Ncbdk8QiTkdvOF4rjihTyXubA+09sizOOr8I4nV71pD/ktKXreIRiOvIkJRiBXAwJJJ3QaxhIr5
VKcL2BvG9bgjAdEaaGvZJQySOLhXTyaa6t0Ujg/o8zB35NW2OUu64GvLIEAHjdzo0BAUKKr4PRLV
NS0/FyhX9VDs88a8RXl3Zy00WUmVvi+R881PTnJ3kk/wAeikcIZH8AnucQj9b3qRKZ1BsirMT4f5
ZRCQ3Jv6W99B4Uv78bGYk1v80+y0/QY2ICZ/XeBvicwJIjUXYR8uRwgM1wJeS1QV3/u6Xa26LQZr
fOGmNisKYoYdbY2bPJJ3kQ2Jnawko3alKyJJNBnZC+kYsegtMXnuWw2ohpE2MA02tCzkRTd4ASt7
6+X9cCg8OychALxUi+mqKmYVVUt2c7SCt1b13KAs543EPtuwxcmDytXMwWEl5ii84y8gz1x1l5zz
SDcvX9gOUQIkQzMGhW+zVVPY0zv1Jq3dtXwcxhq8wXHOgm079fQ3C8LAI4cS36QvFuSCUwEMOhbk
NN0/uUusQcn4bUU3Dsd0hVmMGFncmbnWyMbHMa1hCxJ1cO902LTqxKb7IVY/hxK3K6ABtFsWjcH/
6ga6iAue12x2fzcdyQTIoD+rKFWgAbDiVhGGRqI+GMccaqdWW7YxvrlJA8JuWIs7+ojqD1JbiAfZ
87rBIYpTAhxrpQ4sClu8qKb7VajaB2WI5EnY6iaPxienoaaXMDvpfnOLJIfDoaJ8F1NxC1uCEJYP
3cpD/ycq2Wrsh7JYm5YVB3R7fG0yAbA11/dVVPxQff+mNEfvStaQI8sk2fStPGdhwElIiavHHKUZ
eRs7OCANPfU6NpzDAwS6APWrWdynabLzLQ6tbVNCTdV2PJ5km78WPdpC6su3lM4cknoXEuWvMb64
safI0Mm4QbX1fKX8AGRJvWsirAXS4owxFTMglvnLKlLa1PtTMtNGZNC+6y935MjjNtw0dSPBmuSX
ROAfj5f8dwVVqvMhzc4GANTsGndDGhVAkK+YYpUt9V6dtWfZ608DaOMCal20znd78bMJfKK+uFQ2
btv9LvL4p4NjC184KoEqj1aBD946EfOaCG308Aa4Vm8AIm0dE98bPHVwzpIzfi78ICVW0FScbdo8
uyrH2OoZQ6yW1O2YbaeBZpGgbBmIn3oLvzibO0IN8Sf8rN2EAdlGXuop0u0WYjVq9ZwW5tvk7OXO
Qo+foJK+oplkzMlp+pnh0WOMwZQZzj7tr0QaNjNlWPy9VPNE3m/T6/NE+hmeoBftUm76O8diFt+H
fX2xxwHLOLJtudLNZte6mIAGMMq4NrPDzzGMhlgRpwvSq5duBXBowdTcFsnXaIQL3wLrcJ11Pyee
nb1U/J6Vn1d4YYDEGGv5SCt81UVUZIyQue5pLcxWZy3jROoF+2n1OlImW5AGYnXdw9ViTE6UE78K
MD/p0m2COZGVFQwmitROuyFBuz59ax2LRHwcFbsprh76AkJOxuKzk9yl96ogHRoXgMgycEyce0AE
ZWtwTfGdVQArnYYjbPbZiNVWHHromUyDUY8lQwe3epUT/p6xLzaKlYmfH7t/qtOnYvIA6Y3lyESK
HrOomMaD9IJfco9z9W3ukIF8ui14K3Cxz528nULncbHAsOgQvEdhhRl4bJbnkA18V+pmWyXeU1rT
XDvhJ2BIyJnMq+m/0fBR/Oi+g9UAMtraNW3EgxUBAdE4JrcFvqBtsmBusQ0MrvXbsmYbTIDdebid
KCjyyTLcKBM8aUaWVUm/DXLgWw6tYq24yPvmcVSE0VJc9Rgdum9T1feF7gzK1gLcqKZsrckpYTVJ
eGuZQ0HomnJJNMvcLk42c+qzFjQbTPI1JleKLSjYz2L4zSd7UD7pJ9msv7dw2wz9R0CkaRx2vS9g
aCpaiWguII/5XsOLLeZBboRPfo6RPAVQbJf5eC6ZoHVYfVYSxU9GO494Bop93dsUdMFPRcOb/S9b
nsxVR7T7zI544oM+pqJ6LSrCOoPZSQpbesL8G1kzdq87zETYv2BeJ2+Ry6OnPH6PPBkcjij5nibn
tnUYuEsmrzclRGJIsuJQO1S6WX36ULjOVVQJ50+6XUWvv6yWwWbpF/jthuBap/AK1utUX3NHUS+1
P+ttT6PE+hJyT9+NY4x4Z0UFWWmeVLsCNQ5hAzua/SVYG7FjFG/lQr5eMWFYKK6ENsg81uUSHC1f
A+gKnKMY5Gy+9WaxbhMYZZMgERGENbB3+5p67Z+aVZj2GhpaorgmPtiLH0EcfSeLPmSp8c5FsNaX
dM/cpNzWRfjDHaAT2nEZ14i2vDMW0qYcjfM8Am3rdMRYTN7mNemqoG4/bOhjOxe7uh5UfqnIJk65
TvbQiRKspfu1khAiIi+Nv5Z8KhuIiwEQq1wkVX/iZFs61HZhC+Qe6re0q0ymPzCPi4as2htmV9TC
+++pHX4ljnkdMVXZfvnmYuUJ9Rep9Hw7kGaOpDgnIBpPblm9OGHwG6PIdBmWxIctq34LYgnYBc9B
RWYkXopH6A3mpGLF4SeKgKjapAbWNcaVr64iK0ntBEnTCDTLWierbCd/oujkCz1VHIRyrhmciht2
0q+5VILqB1Xj1BkIVw3TOQnz8CDC/nMiC3BAar426wfE4gdIE2/8wesn2O9Olh1kiSksxdkIbrfa
NF4Ndhlo1lGUHErpzekFng7m7fRvUIwLJq4BHa798wRMi8RPwBg+5fiE1ZDx1qFdbRkraTFHxMIq
x/sNjpr0cdievFIQrR6XZ2cZD2EznmLeHt5knW5nymtYCZEUbdV9jb/cFvfGDHRrJ+zAHHqeqhvD
8aICgZLczQQuNqGH5l3IKicsVLJEZdUPk7Lmj2y3tmVzZEzmmYAZ90Z3JaeP0cSJJh3JYrQT7kyK
iOEXbrO1qjPjPWkawrNl1T7KBDd/pENoIH5PW2ZoTmhpkHiH+B7S3CWrmKX5ki+Vj6HD3c3fBEYz
2L9m9fBzkoxLCtxgN5g4iLj22ciZPaWKKGdVrNauBkJIrsJImBbLfQ6TnAv72NEkm1vAG35ZAwYQ
a6FwwpB+rULCAEQV4dgVqHCTv81rVdxqa3X98/duuVlTjE1FG8mybA9oO9bRsdLVb20AZIiOUtxE
45zqDMur36o7Rpd76iKQHEqcI/jJ6a/JcTCZqb6myfJiGrpYABQGefs0DMldwkmAmpr4FhfKNocq
fYpDji8OyBJGlNEXxpy33Mi7Mcb0Dh4j3Vgyu/LLp9TXwjLp+cGh6Hx2Gd8+GRaMGy7hQGq4ufE+
nqFP21GOIkAlVmHCHgbJsPdK0g0lGVfuSOYSD81LMC4wHaJjahDjciiUEfvVnvpoirJpNuKjGkae
7HhnSp+cXe1/UgB0jSdUwppsKdL9iztQsOyZICZhV/6MnHUsGbqnEqidLBCMlQEAnI3T24wP4MQU
R9vMp3o+oB/dDMCVKs35LRgjilYtvAPorPaE083t6oMAs8lMM7od41+BZ6pTNaNGYClLhP9IuDOM
Vj9Dz3OXcNg7hSXSKagn5NUVk96JZTf04IjigELBDCN+JGkldqcrdvSHytKwBPDE4Gfh4DCp/pIE
TE/qivu0mdIdLtrwIrnDnj27fh7sOjo4fYu7KjK7Sq1ek54AB727uHQ5YQW4d1MHTWhhqpuGOIIZ
Aq87ZXeuBZXvSob7OlvZCvMIcK4I/uhUP3Jl4EzftlRiU5dQuI/ZgvkOAxKHvAC6T16curH8Qfgb
IY9x/mwxgGH7EIEr71EKOczB/wWHoP40ksTMiHMWW8SNHlGY066HHk8CtWiTr1AwcTYu4yH8Djcj
/xq9E3hiCzp9tkeuDOpNWel3lk3k5+mPFYTmYTVjYQA7GJ7xwz4tDjB9xuqJ22BlnhRe53BGiAJd
4pWk3KNc5WBO0bWnfKvgWBK/pSeB5lwQ3lowwmz0QccOj1sG/nq0GyqvXebf40ITjTZ0fGH7INOD
9TemIqsqTjL1h1sLGuPEJmVZ3c4x/fLI4Xd59CnFjJqEYLrkD9Dj0GPWzyRC9wiDEbqUO1JVQWBT
Jxl/gfAhCJTccFFrqTtouV5CIzvFXvWZNwFvCVa+cfTxmYHvRM/Azt3gmQypus29HjSrSOiG/+n3
0HZtgPWBE72NFd5UUG+/7DWVVKWvmcJbUqTzp6GbriPhHC7dtWF7g3lJS9l0YDs8BQG5mal/zwyT
xiCg3CQ1oIb+5pFi7b9Abfkx0Dx3k8Pi4ofSXz1H/o0Eph2C7azHAedhXjHSQ8AccaxXTVKfm8La
9ko8pnGyX7ruVqVmr5AXAo9EapjncOm6kW6xcOICdcLCjR+bGQ0LaksrOyqLn8T5LgF2uIkTF4Fg
KT+FS9KuxdBcK++ZXP3jouJqS/GYT36u/gkSJrothL+vZdOdGhgubETryKPBcut+daOYd0GVYO6G
VXyIhHwDWQ8FOcAD64D8qOL2QfZSA0ebCUZW3JoziXWqb38T4rsSRvEx5WE8SKU5y7gFGmRp3jOO
q9wLiq1jI4mH2XXMMiSJniL5xuM6VI/hm4DY4SSMbsZI/ZpaXlphSJqFWm9Tu5nO3VJ+U6oSHAHn
M/yuQLguzDo3jrazS+LO5W6gzqWCEBXiEzsgG51541e+BmMDgCT4RgY0K4HK6LkWRFIiVQFB1lk5
7gEpldutyswfTwUFyqBeW8r5o56alUcW0damzqwZ973lODcMv/6oLH4P4snsSb2dAzmcQh+fCGlM
LLPccpDvUa1Ue/ZPYx4vlxDb7tYZMHdND37E05gWKHazTwbAMgC56L4gc4SDEqU1JeetsegWwfAj
rInITQmYcUlM7DAbpmoufLDKY5fM8Qy0ClO0HVhXN8AYBqjUY9SShQzhm+jgp1NEBRweVZWsP9Hf
YSrUJhdE+mbKVAo81TzlECVuqip9nA2HL0rr+dWE0Z5AAhrUcI7dHjMXbn1PGY/p6Kql7uaJLgdL
PXZtc5odnL40ahNdCCwaVAQhz1lE76gnpJ7EbVj65yRJagp+bc4WBAKYwYYnd4BIpFa/0HVqu48w
ppk6a61Tjit6WWcnZUQJCat1uzERJ1b0arSMOT1xNnuqoPgdw+YJONJh1Up3kVoN0Ezo55S7ajiF
RHU1N5bJ1JsSqrgWQbSFh/Jbejajr0Pm6HyL3LTLOvVHLgERLLi06FQflkXKG0oWReFglUWogdgT
N3BkK+/kpPeBDP0zPjIa85hAl05+yBfz2PbpgUTqQHhxeTVdsmy9If2Ofc7yhc0q5a8WHynhOi7h
KQsPDfUPAvw5zodABmtZbGadg5ipS8amNNd8JEyrm0NJVJnrAnM1S97nNofwjIMFAnnPCQNCOd75
0xRAetJNjRdxgIK/hLvFyeNtVRnU81RegSm/zfHyKh2wdTnShYdd0KZIreXYfUNHya2J3fwOzPxP
TmesURwCz5yWxh8RiCzG49ORsSMEZ2/IDtyZd5ikv9oqsyGYpZdw4RAexS84JgteWpeLb8E4CAsp
F6WlPrAyniPjUj9HmK7KUZR5Xr4hTHHTrJ3HBDcKt+OvaGTrcQosMlbJFTcraasVFluas2JdA30L
Uaa/ER6K9czOEPRxTyBw9a/ZA6ZP2ik650sUzqnxzW5caXeSHqcS2EksdU1kVACL4qzcL2v1TnvT
rjIJWaVjK2H1apMBa0ymaKcpXglF3N52k9hJiQfJKiKqK6wD9H7FgIU2qJJjeti5P8eM4snF/57K
1r1KPK5Wg5cjjXL7UOnbLnqFA3Wu2XfDycu3vVg+tSmeIh19Vau8nvdUOQQbewiC81K3r+Q7UEnp
yHL998rz8vP/ckrvb55v9xV3ZfP/QVBPKgJspBr/m6TeSxF3f77+z4V421eZ/2tk7+9/+M/M3j/M
mrnzfenhhJHGJ373n5k94f1DI8v5FlKidAgTefb/C+1p6x9k+IyxbGVry3Y138j/De35//BtpuLk
/HDAad91/iehPfvfI3su8CmpFbMOm+/NU1Jb/x7ZswaaUHUVAUHry283cobuZup+KCclFAMlDESc
BIK0hNe/f0xWUh2rhle/kB3cbDpTz1VVuq8iiT+dgEnIv/xC/5kx/NdMIaCSf4sUrt8fLC6HX5sx
Nugs579ECol0MWBDXMUaPnQnjbON2JF1h6ThPMwVK0LgtMHh7z/+/aOUDrfSQvysR15+HKTiobFx
ExKXpVWqxqUom8J5kUrTVdNVFX11sOcRkpb33E9/VJkLbHJobvnccqIjzGqjzOeMPpj70J1+hyP7
TakJCSTask5R7oxb8KjWytlK433tjofejePPFoLrxoN4uVeZ+qSEs7tnajAOUtzJkFFTLikw7YDE
nkIFDahlCvoqffGAZs8K3IGmOJh5nm6mnoIExlbpfKrINGLBxkFCanvjRlF6X8ckhwlsvKe0RHwm
lcfFvjbOxawzZp+yDFuF8VPuZVthq+ESawJ/Wbmkrzn+BGjTI8xE7Ol7pybbUxruqtDY8ucRmzES
umPZ//zZGs2i6aI2E3np3x0k8wetf85xDIO0b2aaT7T/wx8YH01k+f06Fp9CyRsXq8wfpe1vS3X9
i2fTnbvQHxAZh/u5Zz/gg+dwh1rKvdPJn3MrTJ/JEQIZ30QzOr0LDRZ0aBmfFvI4+3Atnq6LkQ8h
fIx8+hLtiAiLpmQo84blB/d7TuZ2mN3KsqKQjOqbQ0uh5uBTdd1H1vTQ5WJ6mAS3aKsu73MHpLdf
xfazI5rsnEnccH//MdVhfo8E4N/LQcsXnTA00g20r/WfekvMNDfkuDpWz3iVl5u59EcALz3yIsAN
qkzwMFXRJcV8tyDram9ZXpjVU72rClLW48VPveUuXcL2/u8fxcIdfBQxp5oQcF3FSsJtqayOOXaN
q4a0fTNn4/wzW0Au4ndkvuFyRTS2eVbT2NJXO0/MKwVwSxwI5TJ5V4X7/R4jEWOAWLgnEVZ/OhuH
B6pLMa5pOBwlbRB/2UzWg87yfiYdUmrDxtkyn3zCOfmUJiq9r87x7DT/QdmZ9biNpFn0FxGI4BIk
X1NK7XtuTr8Qtsvmvu/89XMo12Da6YaN6UILkl0oZEoi41vuPffAcg53uR9PO603NkyjspSZ7QNP
2GfzhDJR6wSZgJLzi6HeHJnuGc+tE00bLK6ZvupLmOYmuQgjTzRq13eN6tsEYkUP1IgbEq9+x3a+
e6wLNCM+2tqY3EJRr4Y4tK8wipSKSwBujX1VaZQcCys7+qXWXAhKjo/mmAezhj1ZSl+/WcNU7++f
Fl6ofxSVhki9g5g/vow/iNw429LlnfDn2nsjU8e6McWhnR+QcGvs5zyiRBAS7z1moKzO0Z7ltg3S
HVfSl6gruJKr8hlNxz6CfA6fQIiXoQHW7NBcfcnz8uInafD1LzfD3++FtjsfGYa0DMPW9Q/3ai/u
RjXaPVYI6WGdifr84AesPjTDPprDmVy16OzpuvXidzetMrRX7I9vRQgMSV7baXLPJWFUiJ1ZycGm
0tdRhBxw1KbkG9u1p7jJrRcn8Uo4b/EWbCmqiLwfjja+zD//ItCpf7urO65lz6MaR9qmLj/c1Zm1
sd8WTLqmyqUabkmfMrQRDLqkJfGEsS6tnEBrK5IXIyKKprfLelF2Anmfyl3Sk1oOH9VFLz4ABDBQ
kf4Y1N4lNkb/WJGgDXCmwTrmmhjQmiTagookW6ljeVDHJCf2YWbc7s8kmvAsgq/Sau66SXX9JeBI
XqaxL1d2hJ/W8cbPGSPwShfhUw1TVC4r53PCHdhmMny9PwhNuXujZGIY1Gl4NLvWvdIYf4MCqX/C
GkvZHb1nQSjfUeg6FLNQPS1Mvp+G8EvVsnltygiNd0y4hcuQk/AlBFqGRPkKLEk8TNxHFw5bnNe+
oB1Kw7Rkg5N87SInvdiw5kk2yHkX5Gtl63uabest6etpKZzROYJGUhniE+7MCjV/anXLiJUoSQk5
MYIAzELHs5EjDPMxQygCU8Ggf0TB09Bd4t1A5L9C8ubBKkoYAbfcGZGor6tCN7dayDKhSZNx5Y5t
ep2MPlyqEGdRZ6dqYYp23EEmkPSriF6A64wWrRuDabIaWv3riGBrEdmauczyVoe7QZuQhWF66edn
SDU5BQpaf6rhaek7jr9hjV2fS4wiy0AOfIeVFl8CzHg7O5tXClVWnEQteZYRlVG6my7F3NIJrz4b
ScG9NjkjzqpeG9vdjirUbsRpoMTDwImyE3Oh1hjyOTICZ+F4fo8JupTPIMPcla7BuXSR9DPWMC+O
RUfbo+xaTpGz/POVYVLy/QdBYS53qHSQxgvWEgZTgw+XOEZodKD1HZdQrwPcYjgkNOcwoUpjgww/
+m4mMsmJYi/vbIXAyGI6uHztmgT0KGOFzY04ZkprvaMCDYHoVe8qhN+Gxw4ykj+8mN44nFVtPvCh
PchQ39m6NXzWGTWj+J0hI6n5RDxtte4LUibZIjFQVO3XdhZyOmOTbik9rnRm08E3dGZKnXr3CnXG
rBdsssIPf/YgP2vq/1ICGtAxfn1LlJqL3RlPYbvSUCZ//59QiQl4ui1QlNew0vZFoW9cs9WWVknM
mlUkPLjXamDOoAHnAhRVZHsdHfMJTku8m4Ya+5Efpd/MThkrDhkya8xZU1wCDSaqIwNlJ/dTK1+c
YXJuXaleY/JfPhe5YJoJWeWQCLEuiii5gVte6U34OOK31R+kydxTSn0V5lMId9ca93/+Lhi/3SSp
/A1iy3TLRo/Bd+LXX3wQqjSQPyNXT/A4wScjFbCcdx4CNbxnrMNGF4tcEi0WyXiZYI3ECuS4KOwn
wrtkFh0EVP6VIayNHerQNyLMQrGVGFtBe3HV+hjDPUKib5QEa2SGgA/TsjyQFDNCZ4ILNlgV5rkB
HERXq5WD0YtRuCEOekZ9YjXe3ne1douLJmRPzfghZsa2awLlHP78Tuj0SB++AsJmHOQI5kWKtufD
V6DLLLIQUeBi++FDpEPPDx4KTfQ18nB/mN0WJBtob51T/CMcj/LDcEawgK59rZwEh4Pjrj3Wfiw7
FTvoAcOtC2A4VVZz9A3sK33hbXsFQ6fThuYvVzVd2e+/gCFNjjz0EkpJ58NHibvc6hUrjAWVjWY0
+zKauucSwtcj9ToJMaT7nNoqf3cIOl40DIXPAksJQrPxMoS9v7z3LFlnu4SO8tLRy3FPWsSwdH1E
Ag7l/rYo8+Y2VP5R9+EdDI3UXpWXACzAEHK8v/SKYmWa+qsaLfPQ5yxtMggFS88zafoCm3nfEKYk
DTG9ZJFB0Mb/dn2+CL6kjeBGYXuI3WHBMUk0b36smSfDaowXkxI+xSBBD1y8w1/63kqF08W0Yb0x
Gid1AinzQCLcYRxjdHsQmU6Otr4XqU2l/WO03ri5H6WgWnzyvtx8GXfe97LgIn5EXx1uNUWu7/2B
lJhp1VHFI8xsBzSUPYFCcJnfYjT9XvCET8H8YcyDLlXLf4pCXfN6FvhFyftggsTNEf4epmBAT+Nk
8bbtcF6hTM32qcDpDYM5vaXIY0oHIegkd2EoohuzFf2x6TsSMmjXbrAbSIjQGMj4Mgj3XUmMCH0B
0tzOBIcx+qR0uTrwtZ7Z9GsyUhMn9pBc04RseTMlipU4PhCNtnGJar97hlDQPbdEX4RjWp9ZZG4I
3Uk2iZJMzhqB3tgzqyVbLDoSWDRrV0RQTueXcEUIsBXyLPJRWzf4MaXRlwcXD+iMj78OzQ98l+LR
0idWrmnAPuHnz2ineEYKpytI4Ma5NbaWeB8DYlf8HgW2SGE4pFBSYzLuYcMn3uHnOalocEz/eH+I
iuKbFzSM2Ay3wYGWdidJfUpvhRpUZh7AGKqZS9d6nyAYvkKRrV6FH5zTIvLfrVg7YUk9AH47V2WT
P4cWH0Efo/ss6vqbBurxU+iXVxQ26qnN6s8ysEkfC1gcNvcv1/11VztnDtEZ5Db/fo7FBA7pdEGh
Zd5QU8UMOXP7ao8IY7zJ24fzw/0ZRQzK8qkib8vVUNQ6drl1maPLscUhpWpkCkMMKpj919Hqcn+V
DEzAiyrUH32A9xstcYt3jSU6tq76oSzj6o2IQENo/vdoYpVReld3LMRZA198rgBkIo2CGHovNlq+
x9sx5hDpfBIIciQl8EZi89QGYf+okrkDGa2Mr1M+1eRisAYzmybehHGurTEhbEt2g2lskjPu5uLy
85OJw7JCpwACO/JNGw10pe2cxndRcPQodXXcbAgtxAZgzetolzctp9X0HdG/ZvWMT+HbpHaSAcO+
8jL7GsZcTtnojcv7S1U66tphr0Xzy1GsS4KuQAFo0LRjeQD36z6yP4yQ448cF1Y8HGUzcLxoL/Ld
6yYbGhw5Rg/R4s8nw+/1khLzfIwmglmYJdwPjYTvBx3/n1krnRxuGndPk13sCRYApF9q5Mgy0Pih
vzszKcc3w2gCLE2Baoim8zGuPTpPFj43E8a+qQPBJJ4mQXCcnvIhLY81/2WbBebNg3aHCqws3i3B
Ir8W7TXurc29xwxLL9s0WoN5PVSfE+CD2zoWJpGxsM+7qWbltUPIVl2jIQRLPQtPLTO3jzU8y+NI
qMbf3pTf+kTeFDlHAnFa2vZvx2Udl42nV5T7dYG2V0IT2KMhqveAC83d6F3G+R42eEG3RY7DCF1H
4F67gb6VyoJcWg+7MmrMp4ptWovb7GqqDpu/MF7uf897uOnTBmSe4axV3MUcwe7VtuoLLn7c9inU
TbmONdWtTUi0ZLDZlXZql3GDdAG/FWE5QnjHYspR3SPpuVdnoacuViTSV+hmbF0M49SA99srFqB7
0pGmdS2cePvnL4/xX05lm9oKBhpFlm59nC1KEQjdmN+nwNbF1zHQ2a+R6UL7P4Q38vKwFfk0XSSr
nNJRFpy9LZOYPhkuyCIeCUlUQI/SfG/w33nBE6oISTCcbUl6dFUSM9t18sfgQGxOuNEAsq3dFQex
j5ixiCDytepklhTVrcml6mNp2+QsM+FqvUyub7wgFnMoER6TtJhWdLzdU8L+mOOrH7YC8uGf3wxp
/TYJVpDl5Nx6UG3rtv3hUpKJbvI7zK1uJSbgPoQW3x/Kvv732f/9mdXh6+4KwzI3gUtb11jDMmpb
64QvvbrWOATYckJdm4FZpBJxqSk9zU8678oOZNBlkIP1ZBj/KFVWt/uLzkE9bnpevbm/VKOqdkaF
/oY5Lroaw+cMZSqy96EZbrw6kWcn6Un50QvnTIcgD0UwnGyn9g9pE+KBNj14JJbz3jlTuLkfslnQ
eGttgpoYMFe8DTG3NLxCgNcLu31NtJ7wMXw6dYDOMk3US23E9qfWxnNr6OF4NbTcXfUN9KmiKsNV
WrjVAVbIghBPY9eN8tMEtNZ7cAYdekFbsQw6l60/7jOOi7Xmml/ulQMCbO0abu9FhVHa0UIaWkvQ
rVPfzD79OpbRuFc9AuEKuUjnxOP+/uBTuxERow/XchDiwNa8xakEtKo22vRZ6v6pxwCu6aHpbtoY
iVZXYAeAvZ+j72L3hYxmPEWaRmYDkt+1RgL4zwmbE5hIQJhKiknEYp0GHJnZZDJ7Zdb4kvYVqmXR
uov77KwbSJWH++Au7vc9shXqtXLRoddajQlTaNecb8PCC8v6U6nGzwYj5Y2OMAfjcxCOu1RG1fH+
0GNjXg0pwL26zFH3jGy4MFhwM5ItpS00pG8w2iECMHpAZRdhZmELQ2BaUhnQmALFtyjdUrkN2xSJ
P6ZLuxgOqUWOb2qKPXWzfQyNMlj5U9JBy2zjjZtgBMltwyFXExy0MDQUa1A0vH5oz2mORODPF5Q+
Xy//B0OklVfKxrgwX0mGZdFS8ff/0bd6WhbHdZ9BNYga+BZ1Jnn82Yz4390eY51bjP2Z1eWejARM
tsLjm+DRoqUkqMzRXyxK88+dEw2XMhP6rUXNKFMW+m6oF+v7EQIG0T62Sv/x55/d/P1e4Ep+dssy
Tcfifx9+9l7r8bbUQND7Yfoymg3WorgvHzuxahh27YJRWMuBpJ1lDDHimmVMrhpAChszTBg2hrXH
EM8ON3EnmpXdBMFxrMvne/8eeY7FZ9nDpcHBvbs/w3M5rgPiJLztfeg8gFE4uwpgTT2GV9Cpr1qP
HhLJtHpzfLbNBQTw2i1eR49v1v3d1bCAiamMwQX2o7UJXXLl6yk9k0Y0st965ASo97bR1HsxP9Mb
UAh/fs+M+T359fNmOiENDhKpUwR8LEU6sw/VqBPpShftxztyQ6edYYq3WPPrjVC4XvMq9a73Zz44
TqJIdW8lEwQ0dm+9GtRzJxvaHgud/ocj+/esGbwT0C/vhDFRf3QLCpikSawnsllWZl2rZ2WQakDF
1YA1GOH1GNVKTm30T4kW+KEwSOXWAxJVuVtUF6nS6ljk2ao3ojlzxjPi/3+b7krCcEzl2LqrLPnx
W+MXtm91XUwLCVAmj9H5EH0WsN3BLJeDOwMVDU2pRXqtD5F5lK6brF2H8hbKmnsYw+jTfVDXoYM5
skJWZJTE8CLC+GR5VYSR4X8fYi2M9hpo0D9/huq3kYstBI4QNqFMwl334/c+cmiFUxN0hJV0DA2q
0Pk0BEN4HaT17kj52egFg0HDyG5YcvJbVKALyofmUnVRfstBSuC6COuNYWaPCqfpwUHNtLZsKBJe
F8Y3dk1qqcYOgIwrtM0YQEy4bx36uIgBZXpfoZzJQ2s3+S4xR1RKbvQ0lN4XC+/YIBlaB4OBOC0L
1sQwpYjZarlDwVdjKhPPtZ/gg8Zy7Nb2u3IEQt22Jgiya9hfmsVt0JlkhYSdI1aeRyKYv5Z+LKyn
xshQwbDRwUE/36qaSX1jzhMf7g92gtJ+qCuAQ2BzNvereHSH4j0csk8aSdtrwjqCPYtkbCqJw3Aq
Hv52ccnfSjU+GMcQfLGYWgrxkSwbDuRnmKoA/ALu85FRlPkSG/52GPtvHV75B5bs2A0D45vdD597
EYSrJJQ+kJTOeMOXtZi1POTSERNuU0iNEbkHls1JqIfNX8Z21m8jXFsQDyAZArGssTAKfbjvq3Iq
Mmb5+Pu56no+4vv0xp9ksbu/NB2X4JWWPU4dhvKApP4fq0YDJ7pi3N8fmoDEIZHZL4bl0mIVIagz
SFL4+plmQoeBM2OB+cjrKrr0XejQV4p7+MIxMn17PU3xjzmK4ejMklANfRaDT70+633tnmxin6+9
L7f9lGsst0nMCfqzFYHYUzm8jjBQCBX7qjpW4KYW8ewnqua3sQDFskySTLLR42WvzJfQUuKI6L3Z
apr++OdrUf/tfjq/jw5VOW2MAFP8oR7Va+pLIkgTvlTzvBU5sU9DTGDYZAVHIifSDUorYKqVh+On
H4pbRBDaxhUFhVBWP+dARxdkyfRH2y03YNK17X2YEVl7835xT05G62ObNyJm7O2/x4jPgD/LgUih
IzU2///fyJIma3O2Xvzz8TfKtDxI+zJNgOnO5WzfaPsKSEo7BWz22cIu4izpiNDM420Sw76Pp378
zEe9SNJrECbhY2UE2PWKSdsZg7DerTzfO6LBSWK3weO9JgusFeTip39vX9TjEF/eSA57/8uv8ltx
Y0uhTHMeUBvCpQf/9UseVJPrhTqDRjhb7yaw08ek65w9QVfDSVipvXBj3/+WZ+uu6/VlGSPz991W
7jUUZiVWSZtwhD0CRes18+Fl2mNun9kitEtdAy6p9cnB8EmqdoSM/nJ96ub8s/1yUCNKpNExdJNz
moCkDz87m8UeDTweIh/VL6srMz7c21j1ylcpeevGbN8Se6A1abCGOfyFAAzzBMZVLXuvJiHBc6sr
/IYnpnxkr0TONdESDHw13Ay3tojXdkO16sCN34rM9NeYpaiJM5ldvETigOE+tuDXqq+jPe6K2MiO
KtoYZZpRiHtqzUkolx2Q4S2tdb24F/gGGIELxsHV3CCj1j10Y1mtMXOc9apUeAZ0i4DRjrzMtPEO
WjTVR1syH88pFq1hVHuPEJ3nimRmjyFdRMLXgdQFYrGiCaIQYrVjVqZo8KVxSjMVX1vfW3W1Zj03
84Mbk8kWRmh8qq/j/IPXCj6sXwX52snp1tOIn+w+U7BIpsC7BhAzGUOaWxHcsKwk69TSx0fe1ikS
3dMwPwBegvgMsQo6Hpj5gFvTOZofMt1zlsFgHp0UV3M9t9EAybQVib5Q2YyAZGeT9SMGKqUd7DwL
FwheGFd1xISQunikaNUhq2X5M7Y+MpVatCjkvj5GPZrZqSG/1Ovcncdg8udDkaTaRhvTAzKAfNmU
ZnUpir5e22aY4xcQgqDysThPo5Esda9wtwECQBOI+DmM/NfGJbuRsZ/Vs57K4ujTGOf6MrRABAVx
ItBo4m/1g+xdDGOy0VmzgzBts/eyMm+hM53DBJe9ZrqYnivn+32hm4/VQ1dBRzRlVW6mdqSnnFax
YvVp5ZH7NM1HLzQN9domXrUQOCZOZKfPypYmG/GFOcAXAlbum/u4KihNawOUHUgHOWnc87GrYtrB
YtxtJAaYN61rXgUak4ehtEvctGggmJiMS6ILKAVczU/I4LCMk29Gah8CqwhcI8fNkO3EfNi7urPM
SnW691P/NlVzvhghH455w7HSnYjdGFFiDZ+SqEkOTQ1CIFLyOU+cfKlFxKu6QVtuskHVZE104+d8
3hb4zmRs/TgMF+w0mq1pNV9j+E7nPA3QtJRZBkS8jjf3L0gL7o2MkIdSghYl4i94gt/WX40ZP+v2
V5wjBXY+M/86ZKRo1sYYPWtANh46pX3uSiN4ao28PPpxfbN4Nx5rgFnGY+hgULBEVzGC9ssdp9+P
+yvHhipgCNgvuUzk3mIYvJ/cmg1TQHofdTvOxcClA3HHT7kK/7JKsuZV1683r3laRadhs0ZyTfPD
KixzdcZOJIoR2GwB9tCyftlNKjzkffMd5jJLcnxwyEJ45vso+auyrZe9YsuuNZP7TjTriumWcYFr
XwE9mtI1ySTj8t6PthZvBVFQezNst/PM9eCPnX/sqNJZHLNRndelegnlXupRgbNuxEvYT5gaMfiT
LFFEu86o3o02r5f6VDESalx1mtKxmbna/pa97RM+JosgSZbswqq3tuvkr9CL2yIcP5uVjNeWuvw8
HXEjDqu0SbgKO1bv92fJ/EzDOPvn08z4WLIpaneDhkVQ9tsmX8pfT7OM1dyQ9iT6xkl71rq+fGem
PAcOht7J1l8L6Q+7Stb2Bjki745vXfSiM1eeUrCbqCFeSL1+HaPaIZoIfoc3z/JFpau96e16s179
PJoTP8ajCw4L8kTQZcX7VFYr09L6YxxrmGGstno0VOw+MrEN/zIT1j/+iqhtdBd1gZzrDml/nHWy
S6bkF4Bs5MSkcXlfkghPWHvPnieeyvxa2sI9BLMQL6vA+1ujvamJd8H6hV16B9s5QViwB/7msAYZ
jKOJnnoxEo53ua9ZsxLSVlj4+vnPH478XaJ6r/8kalglHIVH4NdPB1YT9k8sOFgLbPMFA+F9VK9f
7890nwUUfolTU1biLfSAfxOWPe21mByF2iZRq4ricF+jqjiV88NoNIhhGgJtcHpZ3SsL9PSGlnMz
ViCmSkoX8jXwUFbleClFwo5HL3akSqrFLCvJZGXtQQ4Aitbj7AIKLVvd/2xqZMcwz3GWIFwc2ITN
CKsvfuZHqA51SZO2vq9fCHwvh9773qjyFBSFc3U8sXD8YboR2LbTzKB5G90Ka7jrZLui7boT8bnd
iTk1I/aUW+L86v7nHUm168TGPIj/k8GljJ3d/TK2u55FVFnJbYgqAZ1IWL51AHT7yK0f2wKb2zAr
AQrLLFdalCMO9bEOc6W5F08vouXPUjgkJpuNJ/EEXrQCbkriUJr0h3pQZ6Lh7B3jb1xotla8J17X
P7hpdGEFYz3VeLWXzZDBb5tPKv1UzjV4rEkg6z4pi1Bn5zsJb3a/cwQL6p9fSEuh2roPif3URcqn
6I9Wo16LDfAIkgzmUtjOkk8tfSK/UkRHgI2ZcwWuynnOc4rZn95IEA9uSTT+RYNyLwl/vevaRKvc
hchUjOD2f/0KFhqyWKMYEyp0oKRFK/JT560NfP4nckBWRUvoOA7hUY/soz7L8Rh3uv8O+7K66TYE
pL97dm1svSyIuN2Szb4VCaFLOMgvA3bsv100H88JbmmGPk8f0XSbikSWX39i9GGjx3VAGHheqCVN
yTLwAW8+WE3KXaxLv3KtZQ8/BW0aGWn9mO4msmcv+SScecuAcRfDIdHWVoUf0MaQB/2nC1A+iTnQ
oTTeGKOyiBe3An8bQEDHvpnsJ7UsWt21OWk5oM2ps7nJNKu1C8Pzp6Y4SMpwXeWdt/cm09tPpnUH
Wr95mMAXrey9QyUL8Qxje9OZY8v1AjHDLPue4Z61V7bP4AQZ8b2bG1IA+Iipmk0bDulFRm2wgjvI
Eh5vP5kZU3tMW6IaoyQu3y0T2Z5TgPXTuvwLi3Ro5D3/WmlE8Uk19tcEu+4JPXx1sjBUNnV7HrE3
3ojiKh6ZZ1o7VebTuWkp7Mzk6mjTU2pG8bbHkPmMXshZZ4kk74sCdaC1f7JIrlgaASQr6WTPdhuW
58BlpaHVKr1i4iXnikA4YtLCqVxxWMP9LcGNh4EVkbThk/xdOV8SKfSVD9Fh4S4HmXvfO0zbaVJl
n+G/vXjmy31kRlHJ6Byn9v2oCVs7YEeEK6lXbGGs+SpN2/JWQcvsnQS5B7Sl4G8N+8eekK8claHS
EStJZfw2+HAByvgWDtNFpBEoX+LmW/s19q54aMxr29b/NKoDjJrF7r2lqO1U2xo4WDKQlLm3FgzX
UCS26dY3gIuqWP+ckna29s2JCHsNmDzQ/wvFEflpnpf9xWngfBw3zBeMQm5Fa2j/F0mqn49YQGcS
ce8mz62VA6T1hm09tKgHZ2yOw4CLz9+H9muaPwABwTlPm70LRJliBxMSaVD1Oe/8bIea0lnZdVw/
W6l/7A13O0lZvOUV5GdufPKqzQuTJHDU7AhTy862v5AN4uz1SGRraYasSONeQgGw7GcvIBXGrEpr
VSI+20ArSjelrPbewHLppzyj6OdcCXfctRw6cSrTZzLYqieZycfBaa3XQdIXVLr8AWcS4yBRf68T
670twtKGKQRKIXMYjpOOwNOdgn5fRFFw6ysXxmZCZF0qWq6YPn6prBA1qkPCAN+1sdrmTglEIy7s
LRt6fMmkml0jLfaubcXGTwADqTAQEgMiupc84uvtVnjl78cCD7Cd7g8yhwqadt0zfAbImxcx8elX
tCyLhDgA2i9ewvAY/7L9ZV7xUVmoHFOZ88TatZgwub/VRJKWQ2tNhEqu/zm0QcWUwRhdCQKNro7p
jtte4AeM9DS6GpDirtUYxgcEV+f7v3H/o6IbWOAinYBVkzAmNaA0ZkPUrp254adXANvc29/ur0bp
HUZmpWu39QqGdJVxKs0n3GV+MxoXo/rUz28g16h2HUk13llnqzoXU8bhybT7Pvz+MAZnvBkuKqra
lSmc6hnw1tLOqq2va+tQa7u93Y7sTnCXUSFRnkTxMG2MIaa5azT7FYXSP1FvVz9gQDWhp2EpdVvS
OWxrRSaNeo3MkLEHY3v+nXqDT9xYW7mjlkl7qXrUAoUxfWG4aFyQ/BqXtC5ZW7Jt3Wbl1CC2b0o+
O1YW9xGJjzYXhCQ7L9nCH6XD4Zog8xiffUUohV3SkHTONQoNMGQ2JSi92Z6/RMXl+YxvW9PbVkm4
xTdjvMVx+ZwBJg/b8OKj4/uW1QBd2PH9HF/PjnXYGt7NELmxdglKxiUarO6KHY+seDvI2n1A3h7C
OQdF+RQ0j0DZ3bVpQWWM3G78WhBMkDOK/kShZC2zTkAdr/xnvdJg8NCsPKaxZcLDCqAIFOiRjdbu
EIoQOuvE/aUfm7NGHM8j9DAAbtg8cKKkfBUJ/BJqP42TfAqE/V105pWF1wKDUniLlUrWYK30xYAa
dROM0BCawoq3JcR19O/eym3D+nFSk/vW2/OGu2Ns0HUWWqsmSs8R2a4LMczFLLi6hZ8Pxa5LVH7U
otoCg2e3L3pRwwZKHKAYKriyfBxIZEvbRc9N+0W5gIEIa8USPL90KFF1aW2lLvGsKkJ4do2S/z4Y
ohXbAkSamCuGmjUfM+G8+PlynP8Mo3ROIa4bhLkTQE/5eUb4KNd2lxDBpSFA7Iqe/jK8AvAE6Yls
4EScYnVyxrD++SwTbsUMPe5IXeBv7fmhUlm2auZjtRTqGHum+WnG/S07YcQnfzTkRnPHcN81Vr6q
RWpew5niTJhk/FalzLppW63XSboXR2OjklHqrUGleUcPSkAe16820D/XaAtclx3cltBtz10b4STl
Glo24DO+4hR5AL9tb33o+EvXCqY9W3cEkXS4oIq4AQ7VP55IH1sV+8++FsQ3DNd7ve+rPXRSsosK
Nzxh47pRia8VsUsrz4NoIXN7woSaH5qusp+r0oueVeEENxlb1S3hvd4MFQLY+0vPZVQhyQZ5oNYu
N23CosOfbq1D0Nn9IaqSV0xExfH+ysUctZKaspZhWT613kTmk58C/ROE25pN0Z+iQGMsOD+MJcuS
qdDbnQtBZBOENeDnyASPMZS7ENlAVqQ+FAUMuYefT1uYrHubypK4+mKbl9o2Mpz9yP3mRVSW2JZd
pXMh9ExP8mEJ0EnszXlm0qST2BdQ4UpMMxaP5IejL55ApASTtwIoo50CVkGrvCRJBROQc7w/MGAe
ojLZsMP64qZyWbZR+YOV5kVk5DN7qYZ1AvEnTvuNhhx3CaJFniaUwqcWc/GJbKdeRCvZ6GQtzXWb
War8UOkt/MUuxDmOLrNrivEJxkr6rHqazaI1i32euOHBBazzUCXsQSqT4FC63fHFyKqaG0yLngGR
xcvUTtYjIBzCNgr7RznZX8ySeE63jSPoNhzU0+DjjeCS1AOu0FgLXkYaTQNqtZwI26LsQxQVvVsY
+CLsWKkXnwkHaXdD7CTg0d3HXCONNHRZ+OhAtkzgDku9ANdMQDu8oRJSmShw0dgMfyDS0iHxyUHy
vlX44P36lePMXtatAepI9Y/ZMCfF6tWmS8RTEbbfhBttosapN1Ao4R5hhF/VsFsftBx8Y218mfz4
sazsaZmakFdl3j+60zYdsy/GFMIsJhH5wYZIWnM7jIpjlhjTGt/kF2sEHhUwY91iusNYOpHJmlmw
z0N9AkZfkYDTcp8uGf4PXf6dSSFNSxFnC1wYb26ksyWpg7OZD19EgmpEi/095Jc5zZ6qBmsnTzTU
zwn8KDtZEy59zfhv7UNCOdD28vUv83/IURc7QRNA5LBBTFDLNLYxIKhDYsRKxpbTNehM3KMxiWTp
EIoDKwOYBfEiclmASFsYNzySHJG1R7WN7ARyQS8XRW4Up4R7/EPnCug3wnwRLt2sK6xp1SPVW0Lz
iyXLKT8HJoKRBvXNsIeu8iUt8eMo23pTYwk1TZpXolm/cw1+tQhOMM+9gerSGFfoliHGYiV9EFol
H3pPJyY3wRmAUgsSYkKOCdlcA3kci0LLmqXheLugmQ6tX0bHPMMsCDDnFVAV/DFm0xUH4rK2umOb
+gQhjqo7MGYjf3nRGVaxajIiPYJkX1QIg+pCQ37aW9pCGyxrnuI3ynuyw8nZdhPn4/hd1cM+rrqV
ZzmgFYLqh/SZx7KhIAuCPAPP1jhATOex8JAfTi5O2AAkRtcYr30DSkeY7ZU3nqNNks8bM7QVXr/H
2gnoGZif1GdqlGSoYPOJLsuiXocD+WcmxN6l0TMMjLvoc0PqVOnmE54vr1hoAXJPgu7G7KXXg3H3
P4Sdx3LjSJRFvwgR8GZL70V5VW0QpTLwNhMm8fVzAPVMT9SmF4UgSJVCJIE07917bu6aZGg6JrBf
e+K9uSZwUFLoOrb16ygMvgfyj++BCAap8FT65MrnqftDdvCRdCs2wVQdrbm4CeXelSuLXlaC0caX
KAOs6ndCw5e8J6xZDRkJa2wSDD8+jNWylcgkRcwKQtd+j2n9UkXlj3LUN7AY/pC8Mx2m8M4K/cAd
Vh7yyKxOiM6OCKs+rIiEE6AeO4eFAeMFPtKKjaR0LVTCT+nUAEGqO35cktbb9wgHqCNN3Iud06k9
Tpk9ccNI0WUb7SI6qaSHUp/rKmTvrQcNPBdWf6zKD98ngSjzGDFLRw3P2ZgB+SH7KAKWylfqbsKJ
JAhRU2op/J3VyweguX+GAPBV38L9MMbk6MILWQuWDmuvQxOvsD9WhGKwAuIq69SwNc2SPw7eqaus
q+/F+cbWp9PQgtOrhDesW8u6+9Sr5qYQ8+3WHUkpk57/EaMTgY/qnZoigoZkTysASP0O4ua+oLu1
K9wgXEOCb4B4NMeRXch6CPWT3dTfpxRdgmtuDbNhuDdBwFHA7+zukE/kWOrzSg9BBWte/RyhqWbQ
hDUJm41WSzADv8JXs5iIwfb1TWIhHcuHU6Py5tTXVHiVTFE0w8kPCyh5eMo94lcgMUJiYW3dVbeI
zhYu7HhlRax3Pf1Pqu2Q1REkw6dZTbZ7sDrIoSMij7xS735qEd8GA9qu6uhgAtvZhtmHsJHGZBPj
dSjONlCQfeXVzjYbpmhtBcI99Baa3ba9CdAza82CY05DqT0PyjzFOn2I1pM4LBFJjdBWEeTgK2ui
pofcBBZQ1M0fMCDBvmOLBMTF/zXCHboajQvGLN6p1HiOwiJboXb5Q5bIhai3feKmwC3a8djV/qYb
wsOckjeIinkI0Os6ixttG4ImWkua0B5QyQ2MOXdbmM2PyrEonyVDs7ZHZDJsHTeFQEpe5zaAX0dv
4BmzaDPFGwle7rvTa5txULDpVRbt8xFMUhpXj11DG8/091Hhwlr3kt/TSPLu2BoQfgoCVkpteICW
80dW6UMqgJvGHVaoNNvlgQm71p8gzsAaKSvWFBpmDCDljCnkHu5GraNWCiMlGIITa7cRIlD0mYCn
x8b5GIfqnvn2nTXEi0fG7FYbnFeHMbCTVrF2RXSCWjYyoETITYIfxpQX68D6MKJ0a2gROU3hey14
j0PivWoVnXEo8ui1oLt1FUlMhuP+dErfJRg9/pU0cus0WXc0kaLLRuTQV8JT6TrPcYTMjagfymSR
yTDLMJgUJ77SJ7eynhHl65c4TC8J9u8MI2iFtdJoCW1iQFNCPqIrIrLxj0hIK7E7dWW8d55ciUi0
0MvVYGIXdBunO1Zk7I1e8q5bzV5FKV7pel/0cbnyRHptk/A84GI15vxYiDnprMoAZElmKI50GMBF
YXyPYRmswnGb6ERcyT5qea9FCmlVgHNriI5LGjwOevKb9aWzRVr7QCzrTk782dL+43msTikYNXfa
T+ZGUaxuAXgdIkd9msjpu6wbD64dz5FjjcF43FsAb+7zy4pIMQoZ6sCAtW+m+L1BKrTWhBdgaXN2
VZiBV6PmdsCthSSz8PZM16y4mHlM2mKbetO45hvZO9+8EQzgMFK+THUYD6n4VhDIRglT1huDUmbp
E9xiDfQyB3jAYrIANMVM1EW7sULrAP5oXMNXN+cF/zfP7nFjdNPW8xW1gcJAVGCEtDCxW81U9JBG
Yd0V4dZUoieQCDtvVUV/epk96elaEZ8GC7G1t4zRcJUNhJl6TvTxmLs3VqPWJbKjC1vPTVNSiE4S
QND+TOUe2HjAht91BN+yaGD6gj5I9Qj965jABCoREi+fS9wxzlpjL84IxP9MVfSdWzbeCqd1VgmY
JAOYBESoWd9seXt0t97OPoSJi5TMZMTPSkWYp3U2kt+WcxYJBCXXb09Bx5I1CidrT6eMzgN6CSpp
8WmwmnfUs/RQAJPTqyYht5sg8oeKMorPnKNXP2P6hyuPbdjK658TGkAr1KpnU+9/t32HAS7yt4pG
cA+GKWoIJbYb5yMguhlE8fg+hZq10kwvOdYZZaS20J8djNu9b2BmDX3Qdw29KqJyN3EDYsioethg
xE/aGXv0aAB0XHiaQWgn6lv+ixVQgO5IBphWIjEqKgB9u5tgOO1S3BQRda/d4AmB4aw+lqIAs69V
P0FbriPBNWrks5grneTKLYzDJByXXS3rnjiTfzoNsp47aXvIJOCx/BdJ8NUDQ7C3ct3vM77BwpO9
VTr6gibL5bPUWx2rVU9e8nxazYewYQgrjxU02kfSrcyX0ZV4Bwb3Pzpx3t89RDfwdNP0UPX7toGD
5q8uiNbSCQ5RqHJHzza3vibZxTJZVcihPC0CkLxvs6eu2KJOi7e1kCkxt6U64J7j3aHjbxM3AWNH
Q0jz3A28vhscVnvHGFgRxiAxSWlAQkLwiDs/dsSptXjj5uyGWE4biHJfrYghuITkep8TbXypKy24
xROWuCqARPtldevcriAGzjO4N6CTNhMwF3OTW3707IxEqkq9zk7xrBWg7vtYTS3G6VxPj1ot3XvG
5ON3Rb2PMQet8rEQjzeIJPp2nDEcqrW/tQsJAAdcvW+72D6OMnX2dtaah9rRviFEGG9dV3+LG8eh
xjt8eHVfXbEt/HPwSnVNpOX+h8LM+Lui6WH7oXWLgdz1TQBBf2nmVDRD/+igrmpsrXVoYeQJPN6r
068G6fh7oBkoOK32ppkaqbV0hGYlLjbpCTz11Gs5SzD3gDjmP6TBxt8OXnSbaBW5X03SDRz3b/1m
hjYgyFnpsvVKukOHcK2kUvbueC1qF11Vpwgkmc8d0p1sWodf+rVUhGun19nDZrZb/0fT3/i7XcGf
5GMpZheGuRy20F9XMx0s14sxcVHgRTtCo8m+9aVst2WImZpw2hd9ED/h4Z6yvCXCzbCulp5Y5JYN
/+n6N/W/hceejSHHDjAH24br2eZf7Tp4XnGkxoZJBMNMprfjred7GAiskxJFDgzv/tRG0S3qdXGm
U01WsJGTtJPH9qOfQ33RGcxyeB+bgnjubdIF4tqUdPDn/oVZuOJo2sZ3R4KrR4UUb53KEQ9fzQ2Y
1QJFQFZCbq0SLDYi7K1Xb2KttJzmmvHmewPguhAbJKMCZtNpdjGFtb/rLff9H7c9EhDHRb4OfQ1K
Q0/WjlZWKHSQ+IMOjiio+jhZ9Tzm0jR6bQvi+Otn2UeAoI1LfyuGvt62gDu3dhFAu/biz6DrYdLg
itpPeVDsKlIst6nTzYrkQm3rxiYIVFEO+4Iw4R3yryrrggd9PhRdZiGexMvpNI9OoT2aaYHrUYZ8
rl9t58j0n12m3ZkJhQs1pe65rdqaWMvFqZmYGY4BnHZn5efxgRyVqzdM1HExrDqTJdHaGcaL73ZP
NuqVmwK3+cLSB4WnKs6gQ/wNNoVwE+u+TvgafcEipF8ZDo4i7V1CyGcrwJ4UfM9klKjsxtZ5TjBV
yZwUwkJflV3UvhoVrl02U8ElzVLjUOttyI5J0lF0kPiKOH5oqeLuvgblyScUacg17x4HwcaHxXpu
Y9va96xSSk/+ztvUPoam4d/BlSUndONcc0y26yxQ4IGEpAhlW4O4ThG0JxmVF+HX5cVqp38exRep
EcdnwVhaTSE5bLDBo0vo1tMVqB0WZiuhb9E5R24ffJWRUT7tliP63eopyKARDSl+Ekle8IG0lWJf
B/I7SRf1g90rbdPFjn0CPuOcAAM3GGmtox1xZU0joRJYO/qYdBBJS4dNHUHPi2+WhK925wclOV3K
x9Uq7HyvKdjQfuKQU2/6OKh133xtJaRDvW7ISJLbbG4JD2n3BGRkeqKz29K5gJ6QoMn+uunmR5qt
HlWjV4flKUMjqE16w9sYpB9TXdm7OuhBFlV6dZVtU10DiZcSbwZqmYR+iNPoJcr6EN2DhvlpThKB
X6AceW/mw1D4py/YF9ky1OyHDJ6tX8jHPHfekubZychtstKGuiiBVsQDDpYiMtgjm6+gDZrVwRnn
sQEVi4PSbGtTuU0GyMTW8cJy6Gz0c8Wg7suZ7rD6C2fVRAxMajaW0AYizWt+xMzhHqtQf/aFixA8
DF5IvUtIMejiw+S438zF49g+K8H6v/cKb6vrhXYh4Ng6D6VLWmOkhVfNElA0CQb8xP6lCEJWw7qq
rOxewEt5ElapsUK2pwdfdITo5bjLwivdBnHGYh3UKyl76FEFgGkbkM6Rsv0e8D6SCt8FR1MoSnAV
+92N3Uh6kGka9bvJMIk9mpzx7pi9DkiN+Q4jXkTs1HcvmhQwUmS2FBRY8S3nuKyq1aC6Xws4oghq
tDxW5lzbygLoYfcOUYkWWIGcHaDrwccXtn7HdahOC8Wt13ZfogkCYD3gMrl8Ug77vDZ/LC379es1
dItEac1q1mKcNm5rqk3OUptaVkJwgk2hcP5/7WgXj6MiiR6Pvccuc5e4DiXN+TQjG+eKHo4kxkwZ
26zQ5TWn+mkLz3jpWyd/bsrfijDxs5rbHHL81RL4Noc7EpIghPYzLNkEqz54qFG73/BVNrtwhGCV
zt21NhnVxart34bfUfLmlteItxcedZtBtY+Vl9cPms+Vq57+fVYjVPFaMxQ3n5QP7JVbAhtIhXEs
FytkJvJNaMf1vgbWcrCqMVgjp/4W8M1/4HaCuK073+lKx6CfnjMH2igswfFJVyPJ7IbsdqGu0m1L
oB6TWY8TQsgKvnih7UnkI8ybMKUView+BuZ+CHduSGrTct/BKmbSqUdqj/MdWPWgGii0BhCRZyER
8R35ieYMqQcewqMGrOYQViUrZlah9qBYYpDLsLH4qq4QhMZqbzh8kKPqvpfYDcGwBjMVjIP3f48C
m7SVSPTg3qLSvKZ5EO1ptYIeZ1+P7lq2KF7HJDMvJEqF4F8Po5beC+7vSzUfMhNLn+nPKGxJ/ZmZ
/KUOiK9xkdDD56MFA4fDTekr0h/4g7VzPfa+f1ea+yeQoL/CqBouNIS7Od9GXy2nywsilC8+Np1D
7lGvXvWxkV18sCPtnFKP/hM4asESB/gxnwzbw3ivIS7OFbLtqY67V/Kvxbo2LPHwNf9hzNMP//9N
NRlU9r4E9Eg6qHEdGXRI7Zkfmt0bG6ptPqXWRc+d6C2pgl9+H1nHrxW7xMS28gECRF1tfM4P9MzK
H8iRrTalj60hcrtX2Xboa5x638GVtmYh1UBBYlpZVEHX2kDgQV5GE6SqAq+TXlefsHcQKOo6tbc0
beuH6k9rA4ZFwSmT3jikLTdPPwXsx1nhb+EHXHtC9V48O7apIaV1trObfLpiAje3ujSjregaPPJ6
S9liXnjFXTpuxpSYFpQ5h6QL83czpDuQKcc/F3bno3lSr6HZbDoCk08zzxo15b8PVUBFrNG9jy/j
w+KBGArbOUVIWBiphegOzjKaCZ1I0En4wTbSnHav0NmsFk3TogoXmqUe7PpHkxbGG/2a6agkM/p4
FpEm7o4BgANkU7rNHZuNrlGZA0O3bk+bUkYrBPf0rfPbXGh0452wKc0b8/poQYhkOMJ2PUrrbe6q
TpJWNxakDmJa0Oo2foYVkK4QMQUXd1mKs5A3zgXmarcOwjMCPaK6yGTLZ7JGPIwmY2LDahKz6xcl
5F9eiPRg/L8TcOcjoSWUutEZypfT3JVUKjISXDZTbmirDE/g3g1pnyCo8jYEKJSnyMh+L15oxMnq
yxVdmd541pP8LetN42J47D3tAArNvJgjhTt7cjkTwfigFOQ4z+2xT4suPIK1pks1nyatNz4GxtQf
alxURp4XH42h/0lGHBxflwd1K3bnTj46NP5okBr+DaP/M20SLzw3GcnDEwt1I2mdU1tTECPL9Bom
WorYsVLfZa4x4QYGy9vB3y24iSoXsAWLOPs6HeyhPSQmmXfeFNXPquo/g7H13w1wXgXruNNyyOZH
Kunfuza2ruC40nsQRr+b2FIfERMoV3Fn7p26Vh9egtNbT0wEBfwUGJDPyrzGaZVcG4PIpcUt3WNV
+M6ugXJLyMTFttk+BphQdzra19dIydd4onSM2wgNgRs1D2kzHCusd3SciO9FubW2zS54lJALDkT9
Tvu6ipOXEPoXg4F7aTFR3iIjiBHVx49NntfHVrVbxHLGtXalcc1x5lyX07Tkuxjy5gdixvKhTLoS
qmnNahniN8HPnC4vaOKxWWBAyu8PanBDIihU8XMiRNIozM9pHH+3sLoWyB6C1zefrdNTWozNjQWa
taJBmkKTnEWMQN6abSNcC2xA1ZL4Ae5dKleHgCUs/nI1bZtssBA+wErTblXpklOkl/QlW0CYpYeT
e6rMEzfq1/6JVYHY6japA6GWVTf0WfY+9EDvh6KC8T5AqY+iaLhW5H3sq0gfrqyrJKh8SPCZMf6c
uMuuLIsn0hxIGq8IiTK4o177JIfT7ZiUR3N2BrAziTjXik0BqhbDyUxdKgCSd6XO6bw4W151pJgO
wFK1XYeqeotvlACJQIHWdELjTUvcXyVN9ZsRtuYbrbKNXbTjc1uN3aHFELSaoSJnf97hoFoD7ymy
03K2PO+NmdWAmOFHYOP870Mf/QZEqvn/SP1H5BJN4ipCqxD6k6Gae9F5OXjzoyrFXrReHia68/fv
X35HE4jf2jAAJJvNBovtgOS1cDNWdsksiOu/yaAOwKn8Uo8qypvC9d2Hwsv8uwE9amncE0VMFU5G
Wz/xWjKTODjFWJK+CkCxqJqnNE4pwov4M6ycmrQZa6ugC+z0mZMSFfU/h+WUpeOwlpU5UhYIrVtr
5o+y0LWj7WrtOpW1dgYzFm0do+n3zM7WKx6giB1stfW0oLiyLKtuqe0O6xS21LaEeg6PoXO2VL6i
bWRb6nvmuUfuHfXqFPUBS2CHV9WwKPcXNT6i0P3lE5IoPCnfHfg1UaGaw2jD82e76zw7evGa6U1w
prb9SGMxviwQDu6CPV06rn3DULcWaPqtrFp1swtJ16IJ7vO/MnfvbmaNJ5LqtbfOEG92EmgPPmyJ
axsVP0LEU7S33V+2nf5psyx+zVAN7GTjGier3wWeN756/d0mM+KdEJr2RojsCx8t2SqN97sWbBdm
nMbkmw+uk+m7sMYG4jlNt4Y2IeDQDcGLQ9LPtsgzFBOzNNQygvygjFEHGwlFft4Rx03Nhimi5prV
c4rS3NgczPrDBlu8lzMBIxcCUlZGlMGigJ8ACZ7VQFODhlzxYhXENkalgixW0L4nt7n4KQG6p7Bm
XqVGJF3cvsd5xqYINyAbySGiAlU0zxF8xScmBPS8DfEWCMST74BIF0Dg8jQmJZ39K1Sf0OlfrSz6
GMZBe6C0bL9+ATaIjLeOtLdsUpySpxLmz0Og7RfZNyL2jZGH4u6hDTtRcwR9GuFOpkYaPrlxUL0h
R+6Za232VEkZf+O2IAp48irGcxms3IquRjuMGYjCuqSamokfpGwc/KHR33RJqcBk+bGO6vpP5Gj6
Q9XxCSyPILdFuwlz2wObbZ6rdXbhGaRHYESMrOALfggtAHmbe79ozKB5CxqTGnUmD2mlXQ2rih+s
dEQf4/VsBMg264OOBSbWrlPW8cv8IiII3muigzP7W1IJyKtlRM4jEk5sEyxI5xjpPmtRJjizNVka
m66304vMSdaiCfqDaxXErRH3lBryXToSjoYI6y0rMtSiI1HVDM/xm+lR6U4siIPLq7XUP4fKKS8R
/Rx/Xq7TjNMv0WjU9AXo7WUB+6MgHuU+41dTVUiIkpwvEU090eJLnhVupU3qVsUR5fvMgSyxZexj
q+73/pDxIZcy3KpapaTTk3JRAoB8HanWGWz5PiFvYsYoVfGg6+o6IsfcofWbjlU1uKeoZtFW+eau
VMjlzcmur7U32tuRqfA5DGJ/ReX4I83imqRUrod8vh5IIuufsSLhmkxwOYMrCXybneBMQTYzT7tL
nJwqkcSSa2KEvM3/cYPi8O/qblnikfZ17hc0s8gQ+DXpiENliJJybXZEfcjITAmL6u0nM9TQJFfZ
i+cbAFmSoCUxjZ4UCT+VCRjIqQ7NKH+0ImhfgqDLDzZj2p5d/iGmO/bQBQXrIaOsf8d8ZWn3u9UI
aSZKMNrbtSh3YxXTBSFl51fhbHxSKwjtLX4IdFebIAiKywRV55ZBpVs7QVa8/zNh6/4V6aP24KqS
zX3TsN9PMve5nKzwOQqMl4Lp+tpFWn+tCHRb+T45CvH4rpVtcXFdCF5N2OpvmPU20ujeFpK2CIth
45b0Fq3CeFaxfOqE4794aX9JCi9/C4XBCCCMp7jpHp2ZNJoXo1yHlto2GHtfelIc/aCvzj37W9Sz
LSrZSmoA5kozP0dEwuw1J3WuhktAXZLpWIFnPKNO4HfVDvuBnk5DqYg6F4xZ6SQKK25Z75ZTa6HN
9oO9+azcerwGZkY2c2e5qCWrChBw5XOtTsEWFElzHRvZbRhbWRHPun6+k2GvtYRmTyWVMAcO/W7x
evVZ9tODC+ukgBlTZXFngm9d4UHBXkoveGExFrn1q/D7nuIZiYS1IfvjlLQvY3dLa3R2eIFuFHHF
MRr15sRJvDw7dbcoq91XCgIpbBaPXOnAjq8Qsuu3ab63csYNtyZbO6sj2rVKOO9GAAnEbvx+E/kj
NoF0ujR9QbyRmRkbYmaCXYnqwaF72IOsn0zrHbE93uvS03ap29Ia73m3xoBcNjWTX8ifEDdm1wjt
6tNy4C7Qcdba1S7sVP8U3NCvhfhDXPJS+Zt6ty4fBZGWSEK0TWIzk6vRz8jS8/jtQyN+tgrek2hd
eTANb0RD3x8FMKkfeoKVsrfgerAypMvGumc50EMkelB17nY5xXF9GgWAp84a8D4vxufRjO4FuVgd
fv1ng+ClxZghSJ5ky4BlsNLT9kaLIS+t4Tq1qC1VQ6blYtBO3MI5yQXh7gx9dgVuS3gbK/RjEzjp
UzSU+enrz0K/YnOLV4CS/HYOesY+UXNZbvy2BpewkJ7ZsWWUNuc7u1BFdhHwnXUCi6YJqgRL04E2
W5ddvx7aWpZdc/Lcd+HAcNsktM+jpDC//EIMtaQoqdq3j48GdT0inaeWeorZaltC9NpHfJ7dFfDL
sZs9ysshSA1t6/DHr/99TkKSuuY1Mc0E9q0prtME6CFFbpyEaFyzUO3OYV7dMKBLFjZpcy5Gs91Q
Kf+spRVflqiD3hb1ia4DyQ9za680ugEzedzsKxJhafurDyu1UEwkabOxrLi8tEHAlmDe6Y9WC0TM
jv/QBwlZVYQwsycjfLGFZnbkspEJsfijJtNH7xlH1WY5lcaUHYD+E/oUh+3O6shFrb3OeMnauj2h
FGFcV335WA9peKpSU8ENj/pPdtXbKTPdD8xTYifnNlgZO0yG8+Z24EL8fwdh9vfCoMs/Cf0n4UPh
bz39OSTjk2CGOnVttqkZlM+JwQoG7uOKREvQL2TsBTtyR5mfxyo5wFSJHwUJOAtByEe+/iwFDjDi
6CZIA8h6Mk1H3OGi36GYuhwAqT7qYoba5Oo1E/zJX+VNN7OT+7LI7JwPJ/fyu3Ra+TDQCmb2i87+
vNb33CEFQjSf//OwBv2aAZ+9Rn51FZPSb11lkIymRHBKOp3WAcZKDGtk6WxwslBdhJz0UDZib8AC
OgnBrm/Z4jZKR+c1aNmFZtdz3KqAG/uC61g8ANggi2Pq7T+0H1DGlV18GbsmuWRt+OmXLTvSTqht
6xmEjB1IPzB/N4H/7Gn69Crtel/p3e/l6xMsj558tJLuXHGdr+vHoGaUJbJ5TNF11Zp7JihSfhow
s1ciSvN3UIkmF4qXnQZSITapR+tl7jpkxBrczcI898Jkc4AObo3HABqSL3s0hT4ObNJx0ZhV56X2
SxIDjRiNd5uju7+Iko67Qzb7twnz2LpoLPscgkZ9lgH7SzcSj3odxpeij94N3scby3WauvjTljN9
Wo9jVbzlod4BzwPv6Oc/Yz9If4U5JGeVae+JlU5bG9EASlenubUQ412RvCyM4qGxPxNvVNDV0Tll
Ve2cpwYco2/I8FaGfr+1ldM/lXntQE2f+rdUp6IpS4I3o9wiYR0x4NnzQJTM68BlPmud10Yaw6uh
6z+1IphXDQmb2f6KGZakDvWLXvrI0N6Yzyi6qcQ3Q0luerlvCQe92LmkD+YFc5QF0q91Pw0ohecn
l5cjw/EvFaWPlT1JjJn/xzBeHlUodDy/gzHYOFr+C0lnodXaaTCZsNlRzEdsVNRc5mfdIfZ3k+je
MjNsrqWtY10amVTcViB2mU+XF5RuNuNKuE1zFY0TnCp/zvzl1X9/JBto5raj9joAOLwruJpHrUQk
WqKCui/P+dbYXfka96B+CIHRwTGkelTvPdLVL8Mstl8eFfIb3R9J6ERAo6Dy/e4iCPfaaapGnoNI
BOkWmsyIZvxrDgD8KGLK8PWo/aK/gnovqT3YBUSplo4bn7XALC7/HjBBtkjavV9LwTEq9JmDC1i8
Gc6qsszz4LnW2lEuUd1mbHUPA8uGjSQXdLeMJk4lAEZVaN71sTv2IiF3LOIiieP012I5I6PSOiYZ
+GpIgZA2sbvvl3mo65zsMsyxgGF3xRqVb12ri5+pkR1LGOWXdoaAxEoSrWiZhAjOuSkBIiHxLuPR
P/TmSdoEoToM6t9Gzb5XY0nAcvrOmHKKPNT/5J7Hz0nAQD0oauuj3v2IKkceMvL8jh4JkYNjEorO
zuEkMnCMcUCLQlcEgltCtt/8KIeSobubyZ0pXdpUP/odMJjZPYBjFF/VAKzZG9PrYATtD7Qv3AuN
EV1T5t67o/GZ54MVHi3igLaL+GVi97OyXDoY/9R+2cNvO4s+H9otAkTFOKGGasQ5DTDSdeEAal1A
Sq2t4cFQSOcDD+jmMncuBXBz8HHbWNVPrdeCc+365y6lwUYF1TnTXf7MRaPomHBWEwiEWcRuHozk
R5i0411lQbDGpnnS57Jpq8J6i8mLtmFHU8CAMvhJ0OKaAmD1m+r2nw5WxytjY7prHKyClP+7q2Zv
m6hcJSZq9K/kiMmlyIsagNXPPI8SpE4/OP5ZqwdSo4/eghAXegUEEJ6+lQ+3Ya5kLFPTgCCrs4T3
LXLKbtPj/ri0GpsPQ9nj2qmS13Ecuv1Xs7vL++RcWaeuaN03qaBWIOQh8Lo1zwAwnCOKUnrgVMfO
jGxU1wuYxsKsrkvdJKyYoFVBATuboXrLc6nzk3mS7HWniG8CXcp6UD0oUDL5YBY125Zfu4tSx3mZ
q81HpD+QSubTRIXZ1UlZ81lipySiB3ykNcLbWbdIxdN+GkzYNfOrvpdHZ0uwRqH3bjxXgFgCGSQf
AQa6YzqibqMFYZ4S7KcbB+5c5nrZazAMxd5uivpIc9J9JMlnWpUh1Ak3sg9Asox13g/+Nml9Ldta
PviVXnO2Q2e9a7PHOpgPy6Pen5NngRdcaOK9Id2YHgVB0vfGsSJs0WH0TSvjclvmziWkcHQtjRBq
L/T9bwGO5fVAlMhZ9kHyqpMEgQ/XOC0yhy/Pte6Z6sC0ZrF0S9W9j7U73R7tzWzVt7HIwtc2TGlH
RN3KdHHZBS43T16X/2z0kgA3478L6qXmqJXJuMcP8yp8RcsKKNFwLN3xEbyQ3+rJinbvAFEwYkEx
N/+WR73bfO98GldLuW7yjOjm6ufR1W4LEYfOyiqd4mnFssC51Nl4xNvRbro5tisG3RB7RvkoDd04
yrn3TH0YSvNUvnYurhdkAt+HhjisNjSm/eL3Tz0JbNSYIMCUJayPUcf5aKejASIpqeYomXtntBM3
AeNlpDUVIspoai5JqZ/9JkRT6QAvPbRpwLhct9mllFzUtTQPbl+EJ8FGvJlhfMtrBZKlS92IWx22
Vsd+KJwYEXQUUohaTr6AZS/9Lt7nGkpGJs4X3yAq/Kvqn/jWtPa+emUeEIzKK6Kt5vcfaWwwIvqf
msqf8BoBzLacIxFROEkFBP/CjH5b8Ax2yCPGlVMrddMbiRwhJc8VlW9kH5dIMIXIr9fILwzK7GSQ
aUCwvWaYx0yP/9mdej4B5l+XyheFHoB/Qm2B7Y7KR7GzJivayLT21ja9IdqkJndoR+Mcv8pukQFG
2Fef5jMLLP/963111C8e3Uh/FCMgfCcGR7zskyjCj/tlXzu4EeFWph5v4rkrb1HXu4RW621ssExr
8nnlhoZ8csE2DWxt7puE9Qs57uV7FgiByCEpmB5qaxtPkXYMu/QlH7isHTHsImlY56Wp7keUYSKY
C0eSUV/KvP2uQCA9GHlKCaTWq7tGu5CtoxAHjAnF2a1dRO2t9aiVZvwhXI2tPbuFiYTjp9lHsMiw
wjZI1rWUmF7i5rM2KZ/a7ARf6B8950ZcHQPWVHurCFFFURzdL9hePZ+TcWcIgjzUc0O/nkCF8Xds
cN51H0MyPH29TEgmV4qPDaz2tJU1eeIIPOwr6k962hty/XAfI3i2wVW4wnR/YbBCqUN0bZjvG2Pm
NM02QYDZDTFFYtpqngzehpFwC0K1fGkimDfEvdIv9izgsaplIAVt9wVLRpYQfO3H3cGJ9w2fxGbC
abtJMz06EKL6RkyodqPc46y1ipRXzUaPPPS0mYZ07h8g5e9NZFg+YqcbdYw3PRfFvfa1u18O6kRR
B7HIUDf/w92ZNbdxpOn6ryj6vji1LydmOsJYCQLcKVLSTQVEwrXve/3681SBtAnKbasNnhnOuYEB
CE4WElmZ3/IuX2WUtifjg5tUxnxvIQARs6Mstgc9gMnCEofYZ+IO+NAu03Bd15F+byw6RDa9Sdxt
bOoXuZlI56qw5ARILgpdXmkUAFejcBa931xzkqVgVypMM/Fs7D5oIiJStFcDB0b92Naoo7qF+mx2
ywBgxtwrs2yWQwaB/gEiSPHceePYOK7QUN+XYjIgRCs3Ny5KwD9fbAO77NStZ/ubCN0338eTGYKR
8uAmVGRTwcQTQ5O7WyTOl2reY8sSwiAaWxEihAIPu16IDhQvhUh7aITIf3JDkCg1dnBGSp9wlHK3
gZsuStY8qO+yWMPaLtaFlmozJyOK0Aq93IwPrih+k2mJEJKj2sDmGpQrTwF659lAuZPm3EC4iQ0w
woxvhE+Kvt5JMx+nZDSZ+mk26KloXbqg+xZyt0XqpWWJyKLk+vV4a9mFyskYN5eFPTM0VOWMyh4y
s2FB7szKb56cGM1hTRIalODMHhoFglf7NeaIAt7hChQBTk9lWg0lCUeOwtMiBPGdsV1PSoDI615J
lVMvRyKnaXtQveRkK000imvBBb0yvpRSCHSjA47ruNLGK1HxQEl1UuSNfg82YEUxnipw1s1GjYOC
PGQu0B68pn4lw7lmbtKc7xRE1ZKpKXLr0pAimugjKjHU65sqs6xXL/kBhL2MThMlIUUiYt0mxNQs
qXV/3efZr+MKTYBe0dVoKI3FPlYIudNgaGGizZBcZ7lJT79RSnvld+I8HLA6o6IGNa/qNPJuOADw
x2MfpmOtUOgzYaCaMpYRVutaV0JaPFKUWTYOuBbDco21n1bfZd1Gv2KImhqH8ysMUWfGLS/Z+HXo
3NBcXQiZ8lRqcFh8VXkBrgWBuqk8GppxLtNqDhEm5KqRmfcyBS6V76E/oUYRHoO55E/qOrxLYwqy
WGJpq1aP60VkS9VD3UZzWo7BnVvE4S3CCmjygH5wKfPtoVN+UDnr/Z0RDbjvqkF3QTFxV3GHk/o5
QE2oN2ShoKyUBg9NaTCMyiWk5Zy09anVh7eNXbrfBWfAf9fKQFoyMbZWNIjRvXxv5ARnsWXhJmko
LXKshLu/P4xwhvFl3KifhcHiTnIyeM+DxAs2Ws5dhbD10stqTny10heuzDFr+EgQjHoKvZxMigKn
tVFYAQqaNc9NdgwcfzBYC2P5osshVTdgEEsqDKd+lXiLWkZ5d9iSLDfSprHnu3MXOy54EDmG9TTq
DHCfaTbDoA2zZH1oKrNXrNPATpYFKohfg+wut5Nkgd12SLPFu5WMRNgpSBwUZNoTKVYBVgC0opY/
FKkEW/EFOpCDo7sK00KoHRMaqsJdM8AQXCy6zFTi2Ejh5zsoz556MfbKcqgKn+vauvZLVQI7ESck
+K4FD6ZwULk1YnVJGnGJKw+w71pF7xRHln6uuXWytHRXvcvsr2lRizv0H59afvQLAegwkWuRTWNk
vD6Pz7CjzalmALheaXLWTJyhhVLp7EG52l2HkV7fGiVbhBYGVyxVAUAkTVqn1b/kqSWfjhpVrhxd
A3LoVnscWQbKgjveWSPcgSd5Jnff+gCIqdgK2PBklXFR6bFGFXAqox/IeeCKKxQ2hFmQ+F/dusLq
1DazL6aRmxsDklOud/Bz9RRpSuKRxVh0Uo3eOG1E5LJ1hxtSRbtzAYA9vcKCArw1eYMBm37qplKI
6hgoLQe7HKf2y/mI2RJQJFyMzxzFCBcNzdOpk/Xfar1qzzMz9JY29tyYqru0ROv81k7Bm3UFkkVU
Q4wzTIbkZYfN+cSNaVQguCldJ5EvXQcyIiJsdopdyssCkuu04LRYeRYGteMGhKv9tsp1lBzp799E
lnpu9MmjiKnepY/zDIDfgNslBvQdqIZ9Wlbqbdn7wjp06wiGNwOKoZV8gT/xmKi0u7FMmLqB4d54
0KSWNOjXMqjCU0xaMjI870oOtRo72PBpVKasdXWLQJx22pLGAgLEj1AgLkbTJIgeg9o8hXcTfLHt
CshNmydnKba/k0LTHLo/FAZKrd9Wou2BuUOZK2hbFJszV53IASSdvViNiS9M7OdXKAid12otfw6F
wJ8VimCsaJ5H+BVE6rRFaAJ/ySqlFQ4AZNYrlnaqV3l3SwV6EQSgqmR0jjaNFpZXXgqxTMS/ZQ4y
RfkseHgHR+4XyD64yTbpxZjbs8GTRDW3QrxrBjRRJA2XZkTUaSuDkrIiLJFVvHXCIrgLQ5Ebc6DQ
7Lc+vZI/jyXxLPQxxbFBVIwlcRxzp7D2l5KYVavKK817PejmIMS7b7oDxBJwm7ASKuVRgOFGB1hU
r3THzGdyo+Zrgij3TmUiMH68Eh05eIhC7z6N/PZrX+Y+Kg1+f6uaYTGvO29h19WZUWsqouTKNw1k
CkXo0r1gx3QvKhsb+9jWk2UsJmi4Qua7EBCnvXMDAA7I2nxpK0BfIofdTLT6C86Jm6zNKCXAZb6O
HBN0sGHUy0rRvNsQ5QAyh3MZn45pZ+H44MTC1xFWv68TdGkqQjmsgQZXUbQwu/aCgmK0AAGOd21l
QifwC9xL+jabtlZpXOlIGk/DDvWaLIJkGYH+P1eEXL0O8/5p/C2S395vaNVBifPoADgYMI92NuAR
157foLsnNRtFt7dqiVRcaJvKhSjDKxKlIiMrA8QY6zUVPlbHjKgTXCtGFDXlXfAqCDcr9Ao9MLpf
fKyWp34ES0rVYSi0SAzPVVd+EFyJFo6X6+4GRQ2z7b5oOEbVddKc1mXpL1NZxkIA3NlFRSXIT6OL
rPXKeaOiY9wNh4USUSoFl421iSfLq7aWt26ItLiccXuCDIy/oEbcIzP/IGmliuAuJqeNVsb3jtVD
4KV8BXMnTm4k4MuTIJTbszpBqkxJ42Lj29G1bxf5VVdk2caoomImAMSdCVlozgOr1c4UEu9p69mo
QFM8X+aGasxTqwDfoOsPUmbmG4olxaaV03BBdx7fYms3MleUgb4SIbI2YfnYa4irNiS/JUZx4TzR
lO4q85V7MLDptRhiiyXL1qOm4J5nO+AOxzrI72WRWhYWqShsei2lPtkqy1DKJOqRFIyEGnFB6MpD
HyMEqW446YMFi9Gn0IUhkfKZrBVRUFMlW0OvZxolUX86luQdH9Ctj7qkQzrgDdFimOTqqrPbZmom
ertI+pptdKhsYtFQTWUzgbXjhVeCa7hfESRSmwAHGKF4fhLEc1EKnHtfKKtLFxYgnMCK7A/QG0bK
E4kC0rXflV8tcyhvWUA2Hds3N/uoHLTrYNJhJBMvUxUEo7RmodPGWLRuEt4WRKmW4lykg4873gjp
Ju97ItXhpYTV4mlPd3tmrJA5ymLUWkOsVFtbBhCJiXC1RO0/v6OPT/MzUpOdItx0HPbTPR9nvxep
Hvucr9jipg6jaJYiA32n2MmdEdBqAFryzTBdgrqAKk2WAZqog/R2nBogcHMAeSv2zuK6pia3UdTw
nu6d8rlXBqp2XbHgBG/A0ZTVks0KzDO+JHcFv87cEHRzgUkB/F6k7jceBuyq5cZXI2WClMQ+DXro
wIHigS324xrAUazdCqW2Cou6vcQ2T7vF48Wg/ywCki4QVSkhL1wlsQrGhuqwSD9/1UVed0VYb8zK
WrOgKpVoznDeLQ3DpNOvw+fPm6q73rfObHi5MyfJ2/MypPgF6iFfEnvoC+Lubj6SLJCLeX5ZlX31
ub8afcKkEOSc39N/cAfPF9+Jg4FZDlcoAgcBh426Bn7zG1NXI2RnoWA5qUMeyT9MoxHXC7Qpm5qe
RzA6VHoBWykTD6Ld2lcgxOMmvReZLigHXjQj+0mUG763jR2kLRugcUIaYIVjoFOv+t8U0z3X6k55
4tA9x/dlphqJshm5knaGpWXemxdKDucwjjtEE1Ct63AkXGCja94IIulbqrE7Vs4q2mfVDsgjU9E1
/mBypjaufy3CvwFgL9bzOFIBPtF8ut8/84Evjdu7JOfBJHUSwJNhrt8EBPx7zebxOkJsDmbUuPra
47fLpEZb01vLV6WT3SWJOG/AquL1pPczdjvvKe1rWMZZ3ZwZWGtT9LTYMOrki4wW6zwqaeyOVWoi
yNl+fipTxUtpOHkk3wE2xGly1kr2Ipey4r4HCLoy87YgDNfkqdcgiubL2VzXHHuXZ/JNKhp3Ttpl
d6oVPuG2FGyhRD01bYYogdR8FfTojNNNffA7TFxpNdKTb11/6hr+DOWF8LpWXO3W7ixIOmUrLuNE
11B/wsdskF21gza8rEEDwrZFn0LizFrgLfJrM7ghW26unlqFhXaPH13JbQ+Qnwx7XzUTnbhisXsq
qhV2/eCQjQOPvNkTXs3qKlXMcOLqfXhPOs3MxXF+WSFIeCr7g8YKcm4CgfdtZtn5mYO5+CQbIHzj
e069MxI8jgrNuBezUF3Q6bt3oJzByMuUB0vGQV6UBX8jjZ5RWRABA/XQLvGA7c20oSmEaml3ut9b
sLX2z0eZfZP8ewl7f+0kZjsZDuvHpvlqVw6BXddjPzAlQ+mRPkjBvkRyTaVWCuTb1qB6H4SNgTUd
RXgPgTDU2eEYiIPIPZkNwMVhLpEauzTBqqzrtHDnYtLI32rfmFRVmCzJhkHaDwr6ho5+TGsr9aky
HhPQyZTEUW66KBGnil0HKye/hUevfLYd9IoCetQzKEjGMnd8snqvCzaqyXeVYqO6VvOGHpKanvdh
LMzstIG9JJlhd7Z/atMsnlOuQ80U8cLcy59AoyFflMXLErFVOOf0aoc9U5S7CtrIhVGl4kVGK3/Z
YOCx2U9gYwDqN3yAlwk44T0zSMuKTa4r6jwdHkY59gb9GlE5tajErN4A8ANZjOd7nGPvdheREACb
t9D6/72XVNLxwNuZTs5AeYqqFpNaglTA/jTuquImUnwyp9SsJiFOQOv9lSH9OrEHCNLIuyncHnVs
V6xn5li8DkWUe7CxO23c0Jg4aFFvVDV0TgN6mftnYyIE26UgIk6La9d0pbVMcIk0Nqre495mxUC0
XLcbypbp2WhMYIvIUzkOKlq+FIG2yGpKuTpqXb1rO0hL99GEjEn7bgPkszhNP9dp8wU5PfTVY8eY
j2W+cd+pbbmYZa3xvdegitRapd0oSRhOzSDhrFOVC88Xxamo00FKFEgLEjChAhYGEq99eqNECsJ4
0iBNYXeCM40t5UlEW+wscoJy5keFtwyVvKB+GBSbEK9Z8mzkRD1ZsqcMLlwUUIOJrcnyKS6shUSP
dsOTGG+KXReUa86keHzn8J8EFOrGz4wfpvxF2xff80TSmZA+1q8cN6SiSVd8DoyzYHuA8q4kQruB
2wI0iyLUV5YUtF9E2C4t0zcuqYml9DQM4SsmcQRjvxPgx2fGQIr3jbmZXJoCxtw+ZcZLbRCrBalf
bBRUcz+DBnRxoazdc7hS9rqMk282+fJ6fPA9Gcsw8EC4aKqr2k0hb2W2uoIJQy2yJHLPgSx8Dgwk
pEqdvV7AZex8fInk0Re7RU9znuuEb3i1xl9V3wafBXyyEwV7FQ6wERia1aTzEXZTm0bZpDJgDz9X
m2VYIYVjDYj/IqrvwyqybvLGy2eRWJinRl09+H3angWS6VMuEcUblPomoUTRXG7neo4ZKBXY8IwF
GaDZluNYoIG/oFA7r0p8FsZqsmH4yE7AGWc9IoqIxrWCG5jCAk6nmH7RjJdrNaIebX/rlBoDdDDL
yjSjuLGs8/RXC4bct05ooGxjcLunmVa65NDspaAGWs2YId6UfQV39asdci1N2NyIORrMbgPJAxom
iuvQxzIv+twOL4Sat8cPOI3m75/9/lExrdpLpYjbGXSr7AEy8WwU7bZKWZ+HeRuiGRTmlO+amSNR
x4Up0KDAgl0kXgfUwHV0P6K4Zof+4XWlpvPbIpLlz1VwKVRWNTOUUrnKjQ7NArd/TDqR/SIVxCsj
SIozAUWmBeJOKPrRGD5txSacVMXgZJhXWFRJlKWr9DwU3X6wZXXmSUWQixip/yBmRjbBeKg797LI
f3A9LHgVWkGmXGZgY5OzzHKChxQPRwTPEJAZP2Vn8ffKNuNl2qDUpFo4Y0rDATI+lLZzl7Jy1k5Q
P7+VKuUNZnn2OrR6skxXda5hYgSb8fOBAethzw0rXZYjfoDVLZayiNCU+I/IPeD+oLnQda0GqIM6
fGTSlSTuCWbq8B4B4bcmD5EyyVsEB6H20h+nbBdQ9KHFCe6wyfJmWuuwjlBCqm+TAgyPrBXcKm2+
GKEf40Ppm9GVqcAY9KOgW8TVdt9xbNzanXRpaT6hRKVSSd5lPjgvpqq5y8DgThpR9k6FFnyJNTwI
jYI1u+ZQjoE5FcSEDGknXXqRYqxkapLYAILlaKra+Bb0OKchjXKfy21LQbeW5hFs7DMxQ8Uf6NqA
kTN8A9yfrq/xJ6ZqVDbWdHwJdQ8LjqiTkVGy8kXih/26DSkKgj5OaGLoxVchrXp+Bn9GDHydmH5z
ZfkxXW6PSgwSVBhSsxPlcgwpE4etMbwsVNmd+y52OWopN5vxmTu+1Dka5Dq6pnqu3Uj4iKhOuCyt
myITFZIYHmol7dd6dmbS7JlmSkJuowyuTzCmrwP4rsvcdRqgX4n0tauv5F43v/laT+dFvy4RNDo3
6O5DoIH4M2nywF2Mbwpu7i47AVBvkGaYaQM6z3K/n4hWGC9kJWwnTVkkZ5HaQUkOLbJ99dxLa2kG
fp+ujqoMwkIDU6xpaRUVExkQ2NdAMI3TBOv0qZfqAX5FldrPa6j8mcqWWUaRfpPgSb1w80w5K2y7
O9flHLagr/T3qIttZVUQdoXKb2RQ+EU5/VGmCtolMdRiGPcPVoLgRBNZl22lt3A3h2a2Y6H90Rqr
ErruRKp1UPSG1K3SQQrBLzW6rXRSujwlW6bNfyHgFESNFzsO2cB+VGn84qwzENmkVNRN9boMz7zC
QFm9CecBhYpbRS3ipZMiuE229l3yAvgIFQW2MuqUsz5Vi6t9ZSiV9Und90hFoKQD/Q1TtnJ4iQGm
NTPCRFmWDibfslxna9jNzB7SsqdQSMVTBErFRZFIeLt71KptXY2vkGL10L1BzUkN6nzrxdpKa+D7
VXSwlkmcxsuucdoV2Cz9SuwKb1pLevbkI8uYxyDLrNDaoP2ErmHrJSu4e+ZSjDttLZU3A0F+m3ei
PevBDKxbETBVJ/erwgCaJQa05/CC86oUsoXRlrey41wqsdJ+5ZTqchNc85A0AyzMz+ASwqU3Hesy
U2S++PCsNNTHqEa+vtc3AxHwHl36tVu55jVCD9pnSlROAmMJJllOTc6Wp2GDlWVc1fHCkXTvPJDk
biWjy4EeadctpapOJmMrGnyUsmkA0uyF6TGNWjStk1y2+PV47s3oiUufjOjbrmeC5mWQDmrnbnwQ
AczCvLwdXxgw4eDwSOrCyYbuYoR+nJHU0sIJ5G6ijoRmSt+0FECRzl+zbWXytYqkGiMQ5auee8pD
nkrJqUBfm5OYlwpF+GmgWeLaz+wNWv8GyFqgs5yNaANlK0foKMuo38dDGf1fcZOJXTzphK7aAwyr
eqAUQlee6AMndqTCdl1mr2O2AHEw8kDW9T7ILPWyrfvstDZKDN8dw56O3XshMLS14YNIGadM1vEr
UQt3Zqkt3gq9M7DUs03eXY6uwTB5lPOkzdbjKxIjBFpHOaZ9XGsouYqZHP9Xh2U1hL4gWYzEdb0G
lItp39dIkL+NXUl3wI6GAuQLVFshSqaKuqziimrscCqH0Ar1MLrNUS4rehG7R2SYF3ZkXVSdam26
2vdPO9MsVrEkZLNMrmlVU0XKstR5qHVMhDwVmUJcCM2bUBTnI+PJU5xFVZfpeRF6V0LfGqe+ICJV
ZRflTJV7mlWupHMI6Mmv+5dovAwNdywh4sS6QOgReGulAMt0K225D2kSqb4dC93oJJpTLE7qfaG7
73W+SO9RZaeq0yhYutMJWiJqfp3CkyEv5ktSJsRKNt74ILw2Aqpg1G+Hpyb13409PNBZN5dKWNzX
lk3nwvBhDluqg8oaXvCF1JB3xsFlKRfkGmHurCmzwcdSemGGOsM0NLEdbIc0IwoxSUu6SKGaRE3b
RG35Mtf87LQrhWpZGAlKuEF85ZVqPEmNTj2FOPRZN4fGtFC6uACgrSsBRM4ho8Ue7dmuClN1opQo
SoAOGDrUVW/PUDJKc7peUWE+7MFgneeGczdr9YnTOKuxByCVoAphbgEgkvpEmsdCCJywUc+HFEBI
xPTRM4UbRy/trWTfk8icA+vxnzS53MIP9j+HhucsaSx5s/2RZvWIiNcFYVZBovrITXXlwtK8Z9yz
sm+SaZ0Z+eewa9BpEHN9p8KYNODT9fQ3ZzFnIRyussvX40ON2vz+GXaOt5QY+2VCnqCdm4hRb6xE
o3BueYNJ0sAASZv6vmKBnI7prhak6iJwkXdlWn6FcyBdqUnlw/0yjXWnKw++7GgbVUZyQO3lDLxR
8yy4j/UAlpmEoPtpAeVAOV9KrMvxAaCPvYQs2Eyi1n5+b/yHzgghzQLMmFZu842dB/y6kcXrIG6d
izHZTQwQrJIGybbxZmPvqJUD7doLIRwP4PAsbO4LV1LBUVuUFS1dWY/PxEq769Bhyef4P5jrIPGM
Kbxa6UEO3V2JhOSO7HUKo2QWa30LexFqkq+BaAS53yDoOlCdbU8LpuPfVCokI4sQGSD++ryqaZ/E
sWeALUC1eF/aqTqcSdww+pYMrFhyAeg1cSGvs6hF28KNEBrpozX8IqyFx6fsZHS+xDP0bJXzGq0Y
ajHFZoSHZWbckRep7Ry3VoQwjUBHQtHtBs1cA3JX0c5bUhkVTbgGVefhoZDddQGXf02D0cUsqSzj
BTQg6oOVIvBLhTg2Q3nsImPRICp5YbhVeYYONXX1rL7ohrfcQcDcYdeclb2C5WKOkIiQbzKv7jbF
8FBX4fCgFZMMG6t5q3U5px0NhljVtqokJJNE5LR1PPQbRexy1knRc+gI3FSjJ7cnAvglrbuSI7Ve
04Kj1zsUdLygsqdiDjYroJxxi2bOxBt2EQhhzgaYxNbB6mMxvvr9fUFq8TyQjAkQHdhwqTmkW52C
kG4amOB9aToI1M0fW+y/gzQ3HmueuD7vwCjXOMoilA6vSjmKbgTDuR6BQbldF9gIE8mATYgwAMm/
iECPKBs/tgiVTE2q5Bdi3CNqw92u1GoiT4D4pfPWcoDhDL9a6XfWBBMPTA2TSLtEZZqm6dASlUFJ
Tosay/dRNU/wA40m2hR5X9xw4oaMMsNJzzWUDsSG9JCAEZqkegrJF/4XOuMZAtAS8AKnIuHQe6ox
Gf26dWORBlpSPGsjJTmXGrO48SUam6z/FWXbQXBaov1PffRzYrHX2V4Kyqxiw0PxRbiIjfqcNoJ9
35L7Yo9pt0D2vcWIETe7/MYJKbKMAEO9iVcxsvGp1X5Bg9GeoUz75JhCdhYMgjuIrlPS62LEq0x8
CS1JiM51QdikNChuM8PdZpJk7l9JIoAME2o6RTL+MXC99hxo1/34anyogchpPY664ysjkhAMjhHB
1jx0tcKwvU7b7FeJ0rXvY3BBGQTPLwqNInL2cW1Y564AICwj4v9GPDxNB3uISGh4wJgFOIIgTTIb
LPoUl3YcU2Pqlmpg0/jFIEPFAPzMM7RqIaN2JvdLorKQda2p68z42iiQYWb+oJtfao1OXZJGQe3T
f2DDorMXxSC6RO26701xparWA9TSEHocLgCEns15aUZfwK2bZ/CvooVCv3XStrWz1AeveDOL8qu+
bPOrqhb/ygbO+EHaUDVlCyEKQ1VF/A/fGlp5rSRTyGCxyFmHS5Wbrgp0ys5zcJtXofHZG3oqPV2A
tVyHUz8Ovnjojq/NztTP48hWJpFknTaDwcq46afIfZ9C1lOw6OS9SgiRqc8vEhsvdUejYjo+S9SW
/go42D0jq8Umcs/QAkTUI9UHvLdqjQgSFQRFtRH8pSzUV/s6emg3s1RVJ6C60+91EtGZ7lr6vXFS
UcMHiOQPD93gGGaYgXGGQNYrPLGtU8XRfAx2oeTQyjJ9n7Mb+FOF5gPl2pQIceCllQ5tLKpuylVU
IlxVGOD6ffUKze5gTiKh7uWLgtbWJ+jFx/MUDFiBesRXWc9StIft7g50xKxsImVeuKm4LFGKGb3I
/uOx/T/OLkHJu3OSuPjnf/L6MUm7nG5m+eblPy+2NbL1/zn8P7995vD/+Ofs9pe7T78m+afz28Xd
n37ywQu8dPfkbd9+6mB4LuH5EmfbcnvwYg6CuuyuoR93N7uiCss//9f9l+G7DgNdJcCU7pIfhvip
D41f+V8O9Gk3Xtddl+7+6x+PSYXYJNcHqTf+x/M/rZ7+6x8WTm//8cNA45f5swHCLd+5emJkTTqR
0PcTDTIP/AiR5PzHpzCJned/lsQTVRThiNK1lvivsv97r+byX03BDxf1B9P055/5sy+wn5xhBuTB
3PKoKdDlExPWLh5OhiKpKgKgh1OgnxjYUJiIe2InZqmDUTd/7wNNgXTsIlCNE80k7NUMWWGrszQE
W18vAvVEUiXZ1IaAU5Rk4+NNAK7dR60BTT/BXB5lMjSNRF1XRfRfX82ArJ6AzlN1vCBo1GraoNj6
sdbA0XeBJp6gNotnn4HGuWWKKr/yqxlQT3Rd1DRTlgF2IwY6aPZ+tBnYr8v9SfTb7vxv7IWqePK8
/CWZgOPVtxeUE00zFNOyYEtbTJP+4b6+whUfdQuo8omhDbmvIRpIxL3dBmXtZNgcMFTVdd2yZMn6
aAuASPvYKdDY6DjuTAJg6fk7vloFkn6CGo0iKhwTMmG9+eEOQ23/o/z9W0Bho8PKW8Rq29LEYRUc
3AeKfGJxCrBNWNp+kXy4RSAdvQi412WLrMJkvyfFeHMUSPIJd7+Es4Eugf/QP9xJoB8bD3EWyjrK
/hqBABgKxH0O1oB1oihQ/jgLFVFGPk1miXysk4ArO3IjULQTjEARQNZII8fN8GAKJPVEBa+tqJJJ
yEjddb/3fqCQ0Dg6IDJPdFPR2e/5pkNMfJgXcBqQLhgEgyr2viaf+GiLwDg2GtDVE3553N1NBWK7
jOXnwRqQuUuGGoRBG0lRITYQMX6s2+D5ePr7h4Gqnww7HREvAkZDTPxmDZyoTJBqDJExbgXsFx9t
BqxjzwKFzY7vRmIsyTLR73C+vgoIZPlEMyScI0RuAl0TlQ8XEw2Fs+OiQovs15JETZZVHaPCYcBX
MyBpnAa4ACEYpKgiucOHi4sl8diYiOxY0lnpPPALcxe8mQLrhORYpHAga5KKdeGHiwqfY5S/vxFo
ygnbAH4/JlkQhQDrMCIQTMJmDgHOQlxdLPED3gdUit/hRjA4EmViIu3HCoF+gly4gkWbRcyAKunH
K5Sxix87BeYJuaFqDsciiTDbweFewI1gqtSPdEVG2Pf5z32goIgi1pEzoA3bHcuc/IhKkfZ2K5CV
E4jUGq0Qjs3nrfcjfX9jf0IfsRHIJ7LKLq+hoSwqGjNwsAK0k8HMSdIkJsgwORU/XETAjXnkEiAk
0A0EB/h9ZZXQ6E16KBgnFpPDeQGNjIopNcXxD36kZTBs30cFBRo5MCmyYhk6/Tdi48NaoUTURKTA
DaIpiqpSNv9oUyCLx+ZH6pAAWZIiqqKkS5IyeHS9iouGgjH1A4IiWgbDgbif8g+0CmR1H6odsRko
JxahsUKOwD1vyiK31qspEAiONY5KRSRwEMkUn0vUH2kOhqz2qDuBFEmiSqbpFAb5jm/rZRQKhtbS
sEAIm3Rm6ufvhJ+Yp9/ajFPXC5/GLqS3K161Mv/yAy8duB8HeNVklBWNGtDBR4e25H7w39uU/zzo
Uo4Nslf/OHSEX708+Gzxw4efv/x4Wc9/6/VbB1/14MJe/uXlzVNvl2/zRxfN5KHN+/ytLrYRvc/p
Nt4+bV+3U4cE7veL/KHv+ttS+bNRl/luF4fb+OllqLFPy71x7MDnu9Z7TF7GGUYl6Xx5+Yd94p+6
3luAx+WnK+Yp333isj9BZ6h23MgvQ49d1uGYO/YLfI69cvf06bbclrviZbhxdJWc6djRpwyQb8NP
v0S73Hs8+Fm5N03u9H/5F7iYn5qq6Tb3vn/fbQ+mBmVSDnmTA+Uvxv+jBfxbH/nHG/AFjLDfoP/9
f3++nP06saz/D+/fX2LE5R/LNz82bqd/8lO83n8P5vS/55egUCgdv5W+Xkn/z3bHydYdOAkvczmu
IwK5f7nIf/Ye6tK8Orj7h6LasaMut/2WjSX30pexxusV/+yu/8kLXuVv7nfpL9fX/pb9s0NiVeTb
XXhwrdI7TC7Xmh0MOgQcx87tWZI/vZkC+R2mYF01W698ubzx5xpcd4+92s3uO3Ygh8v2PY71y+jN
HOjvcGZdgyHLX77zOAVDKnXsFNxuqyfv0y/59rt3eAyKVC6PHhxM3+Go8jvcZM+hwXDNn+ZgKH+I
EOR3mO2HXVF+mmzj4GUWhhmnrP/y8u/HUF93sKZfhhlHHbqwx071MiGM/HS6GzGUL8MNo4M+eI9N
85fv1afzqjj4NQH5SRItnZc/9/fn5K6Kv39aFUMkfLDdG/QQhgISDSN6a+hean+55F+fd/MhjifL
+e85r6n300p9SSZepyNv0xkuC558+UMmc/i55JHo8S8+8xFSo3mVb4s397n+ZzfKz4bQv/z6NjjH
3/ztYnuey588oP84DJQAKR057tsJoOZ13IjMapLuXsYY9/sBafTyxsu99u99/YskL90/zHrGtP3N
LvTvjf1LVQw51ZuFQDZ15ETcJige/tE100u3fggCXl/z/9xWQA+Un+pntoLqd6z2/4Jb/ZeQgOnw
F/7hF3j1jX76pnxK8vzgaKFCygZJEeZlnf+NUYf1eHitA/j52GEnO5jYVfQy0HiA/3BX/vtXO0kK
JnasqZzu8n7nJHCUDqZkaCW/w8Vv32RUP+5Tf+PiYadT7ji43AFjeuzlznZxtM0PQrD3iJVW+e5t
zW1oex97tXN8xd/cHAO06thhp/3u0T2c26FdeOywC++HwuMAgzp62G2e7P4olBuQgUcPTnr9eHAm
DgCKY0ddet85t94kV9Y7/HJLeEJxseteLnHYK94jWl7uchLMw2HfYx4oRh/O7tCPPHZ2p3kCgehg
axjB18eOe1rF7DkHkzDCd44dd/X4w+ZAi/r4eViV2/Dwagf08bFXe4Y59eECkwaM7dHDkkueb7vD
PHUkOhw78mZb1m9Wg/oOs4tkvlu9DU1GDMexF3wbJvU2eHvJ7zDHG499vdzFRbl7UzkdALLHXvam
anfR96TKnZexxhRigDYdO/R5Ej4xJy8DjeMOFJ/jx423b3pW2jvcIufD3v5ydePFDpDvYy/2Yle6
u/yHggX923cYGyfX7eFe8R5HM4TbN51GcIrHX+0VOWXlbA8L1AN05tgpvkk45Q5vvBGLcey4wx29
ezvw0N0/euBx18y9+KDxKr9H1nGbvmmvgBR4hwuutyR0+dPLSMPdIcvvsB3fNrunw8NjRHQcPcGN
V/b7u+7wkt9htX0Ohg7WQXAJf/Plz/z9NPS5Wo1/s/OUHKaNPxazqt+rAT+ZO98TXD2y7qbkyi8X
O/6MAxvr2Pk+R3F9F++c/HBBv0dWc7vL33YcjHeYbWrIu0/JrwQvByV2YIbv0Ybal8/Ot4+7p7eZ
nmTp7xHP3SSPwTY82EuB1CsQqI7/NRGdSeqDX3JQxaC4/ldD/8/V0WTqyMdW0V5f/XAb/1k34OBv
zYcC1Ng9+Ose7XKX5M7hWTXojBx7A95UxdvC8oCcO3bYO6ydD7MGYFt/Nezrefx9av7o3Vegsj+c
0J/69+cvOe5lQzH9YKTn3/GwX3LQC/nfUEz91XEJcIrycK96h9/3Fw7J71vPPxz4L3/hv17mv+T0
Lg+X+TuEIbRZnXD7tCvclzU4/urvMBHn3XaoIB4M+x4XjETY4dwOFI5j70rk0uKd9zLOMAXKO1zr
dEsaiOTN/+XuapbbtoHwq/DW9qCpRcdxT52xaFlxJHk0puxDbpDIkRBRgsofe6RTX6PnnHrorW/g
N+mT9AMppFqIDW1hG09zyYw9kyW8WCy+/fuwL5cj4g5T6Q1QH6eCGVA0Cqc08c0RDr8DTY3X1/+E
F7f7qmifMOzc9Qp4ILY8dRvNW842Acl069Ad7C71vVhT80XDtbvU/iadbba2O0Pbu7voCnj1VRoT
c0OntLvsqr5YI5vBMPpoNVvMD1XCcK4HQmXmj9e+on3KgDcAbYU6OCJnDFpGKDFTVnEYo9LmLzg+
vkJ6J5IPtEcY05csggWIlKnBvWXYuZt4bWVLzhm2biRSxCVJXemlpLxzvZ1GSIIeGDJHlWSEeQS5
XiP2JvbsnzBYXYioW6zhNow5VHCSwTrGcyHtdBp4MMx3jrfnsfgIljpb076eGXLdwrGQj9Tvg6CJ
QSyiCQ0LD9bM4ZHutpO4Rh0ceex7GecrQVMyHK7uOi9AfLs7iEa9pYvWDCHmF8dbSL9YiWwu07ov
YNKWAR+EazRVJps6XwIKEw5cM5QRHlj2uiLLjUK0hqqW9383dHiIZw1fhHO5UIDoNSpCq9c5Uirm
q8dvAy4esRFev0hl8tevv2UL/dOtjGbE2aD/Ce8dMWRvxnKp0tYAbalUPmhFwDLl/ueEMbD8oqjb
c3RfYi6T4RuXahEp70dvLBYI9uSS3K16QPSMo1W1LwqZStI1ggHsE0ziMsCNkWglsjVFQ0Yrywqj
9vJ0V99g2OoQ8XCNZAbXMRDrfG6Bj2rZjddLXaLn6/TV6qbPbzD7k8wwe0ZOAIN5XmiUTYQyeDo8
TZIBOBCxmtLPFY90ABpImp4D5HRw+SJoNqvTJ5MDhwRzEe3L5CgN3cZ48T6RU12wQDXZw4syM5Kf
17QYrkouhXrfX94GPxhh5U3LYGxILcWpovMzbxjsIlC46mh0e8aQRPg89Fm2la88o/59tXAMeARi
HXv3cRqRi7p5cqE5/Xr5UaKlIyfGrVmUXG2kO8O7W0aMtg6OMLf7SyFyBReXeL0C0R1xH5ogzXnV
qcythBBHCbGbz6VaU8/MAX7GOOE9JGOpZE174qqInpjQQ/gTA1TooTZBtqy5TthswIeGgIlodwUE
T3/msRd9d/2gJI31QbjgLr4frzZEFTXDHcWLK/cDObEBAKhi3VeLEEHlc3KPoMrLIBfPplEtvGkE
jc0WMQSrwkxkU1qkaXNcI2hgVDmNltosXREI/B6JDy65jVxPMeJJSyjDKR7iIp3aTXUMR2IoEPYi
wKbODGS37nY2VFvtJcErYWSV0RVHh/6NBOYmUjkceynVUgRHh37lLFt48ScTNNI8HHt6ufu5BaKn
hCbgJTS6OT4rspvWOpjc8zUBnOsRQY4itjoNfY7e7FATmghvEKOKZ1apjc7nKLaFaGO0Ch8+RztP
WERWMpfjrhsrGoL4pwxHOnz6pLyxWj79Xg44jdKnP1ZTvMRCdH3KEOxgjlhaJRufozQ/Fqut7ex8
jiTi3ezgFHIU5xEEL1BF965ERoAACPmMzo8/4iBEkhaK9TkqeXg6DM2MK3IJ+m8Z4OGHA9Ttc2TJ
P8jlREweqRVzMD1UPvTwfDf3lr9ekq6iTXJN0+2vXxvof9KrhwlOuaW7xnDxBQr1L+T/KZsUy7lI
vFAkDwJDsubw6stJv77keqH2EKLHuJ4Irj+chX85ukC/TaRpAcwSSwjXTLbUHC/cQMGpmBVkxe0v
MnY9s2Y0QrxLKxLt5mG9fYPtfu4Xrfvts5oem3i8dhteaXNHJfa/OHMXaTGhW2Ys4/h7CFwOEoZQ
QoqOSCfAQ0ZoCd7MDy5fmBUyoaejzXCD6tXiONPTwRBM6xQTqLhgxkQ0R3MX3uETiENqCqocPViB
2GDWp672yFHoDyzb00zErp7zUi0BVaiz5wAVRm59epqjrwmckzaVJccY2BXETuct3CgRCCELCu45
AtZ3YAAj2LDNUfZ+j8NibSPeKXG3j506hiLVkNZOZnCUM/RwTqbjVpK5B4+y++JHGFzPlQYzNHrg
oMgLcw+PcOdZ6bZv4gdJXRVHgww+MSimNCMDknV3vYwx2ycjEZVrH6uJsGJlDooOPZtRKSeAYaqs
zimCLtz9j4GW7iXoFEDoihi0LEBWruGgE48jz9tBulBmc3wSczK1nt7nOBR34Re/wACZO2olrCID
nvp0344AcBnNt0ZQiWA4spOhoMALD/CYbxwPjCoe4C4YdhCxF/QEc6Q+K/mASSiLJ/FyY1astXLG
kvHLMSKYYrhxXzLYxzkKnzhYldsnstvnzeFPXdzwdXpsdPj+Tc5YaRIoO/3aPOv9ehtRkZq5xnSI
o/8BuJRr/ZX40y/SmV4RLSlzdJJ2MFVgMYpwjPp2UrGVZA6XIxEeoNedZJ44CrOBSpTdVsDRx9yd
AsvTnBMHh3yFjHVPiNVg0JzebE4PXYlkodvy61DTOQNo6hWYKCRpBrSWGj/vcJ+imorsEzGNNgdj
lp4KQY6EXKB4t9l9xaM4LYyUMh3F0XNylxb2YvGSnPnM8eq9R91wi3cKyMbhPdImyUdeA3X/bS/9
t0tqT5NYpD//DQAA//8=</cx:binary>
              </cx:geoCache>
            </cx:geography>
          </cx:layoutPr>
        </cx:series>
      </cx:plotAreaRegion>
    </cx:plotArea>
    <cx:legend pos="r" align="min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14/relationships/chartEx" Target="../charts/chartEx1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133350</xdr:colOff>
      <xdr:row>1</xdr:row>
      <xdr:rowOff>31750</xdr:rowOff>
    </xdr:from>
    <xdr:to>
      <xdr:col>11</xdr:col>
      <xdr:colOff>57150</xdr:colOff>
      <xdr:row>2</xdr:row>
      <xdr:rowOff>450850</xdr:rowOff>
    </xdr:to>
    <xdr:sp macro="[0]!Verif_TVA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D8E0637-4D50-4986-8AB9-9D1A27430B9A}"/>
            </a:ext>
          </a:extLst>
        </xdr:cNvPr>
        <xdr:cNvSpPr/>
      </xdr:nvSpPr>
      <xdr:spPr>
        <a:xfrm>
          <a:off x="10052050" y="215900"/>
          <a:ext cx="2971800" cy="6032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/>
            <a:t>                 Vérifier les numéros</a:t>
          </a:r>
          <a:r>
            <a:rPr lang="fr-FR" sz="1400" baseline="0"/>
            <a:t> de</a:t>
          </a:r>
          <a:r>
            <a:rPr lang="fr-FR" sz="1400"/>
            <a:t> TVA</a:t>
          </a:r>
        </a:p>
      </xdr:txBody>
    </xdr:sp>
    <xdr:clientData/>
  </xdr:twoCellAnchor>
  <xdr:twoCellAnchor editAs="oneCell">
    <xdr:from>
      <xdr:col>7</xdr:col>
      <xdr:colOff>158750</xdr:colOff>
      <xdr:row>1</xdr:row>
      <xdr:rowOff>95250</xdr:rowOff>
    </xdr:from>
    <xdr:to>
      <xdr:col>8</xdr:col>
      <xdr:colOff>148373</xdr:colOff>
      <xdr:row>3</xdr:row>
      <xdr:rowOff>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EA72F3EF-15C4-41A1-97A9-454F9552A0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569200" y="279400"/>
          <a:ext cx="748448" cy="4889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107950</xdr:colOff>
      <xdr:row>0</xdr:row>
      <xdr:rowOff>88900</xdr:rowOff>
    </xdr:from>
    <xdr:to>
      <xdr:col>5</xdr:col>
      <xdr:colOff>971550</xdr:colOff>
      <xdr:row>12</xdr:row>
      <xdr:rowOff>133350</xdr:rowOff>
    </xdr:to>
    <xdr:graphicFrame macro="">
      <xdr:nvGraphicFramePr>
        <xdr:cNvPr id="2" name="Graphique 1" descr="Type de graphique : Anneau. VRAI représente la majorité des « Code Valide ».&#10;&#10;Description générée automatiquement">
          <a:extLst>
            <a:ext uri="{FF2B5EF4-FFF2-40B4-BE49-F238E27FC236}">
              <a16:creationId xmlns:a16="http://schemas.microsoft.com/office/drawing/2014/main" id="{522076F3-FC11-4451-83A5-E07DF8F7AF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88900</xdr:colOff>
      <xdr:row>15</xdr:row>
      <xdr:rowOff>133350</xdr:rowOff>
    </xdr:from>
    <xdr:to>
      <xdr:col>5</xdr:col>
      <xdr:colOff>996949</xdr:colOff>
      <xdr:row>32</xdr:row>
      <xdr:rowOff>19050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7" name="Graphique 6">
              <a:extLst>
                <a:ext uri="{FF2B5EF4-FFF2-40B4-BE49-F238E27FC236}">
                  <a16:creationId xmlns:a16="http://schemas.microsoft.com/office/drawing/2014/main" id="{1A3E5B73-A5E6-4D82-8AF4-27AB4C822C9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87320" y="2876550"/>
              <a:ext cx="5419089" cy="29946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473075</xdr:colOff>
      <xdr:row>3</xdr:row>
      <xdr:rowOff>149225</xdr:rowOff>
    </xdr:from>
    <xdr:to>
      <xdr:col>7</xdr:col>
      <xdr:colOff>117475</xdr:colOff>
      <xdr:row>6</xdr:row>
      <xdr:rowOff>3175</xdr:rowOff>
    </xdr:to>
    <xdr:sp macro="[0]!Trouver_Entreprise_INSE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104047A6-3582-4AA5-90F3-18F5FC9D2431}"/>
            </a:ext>
          </a:extLst>
        </xdr:cNvPr>
        <xdr:cNvSpPr/>
      </xdr:nvSpPr>
      <xdr:spPr>
        <a:xfrm>
          <a:off x="5083175" y="752475"/>
          <a:ext cx="3886200" cy="45085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/>
            <a:t>Rechercher une entreprise</a:t>
          </a:r>
        </a:p>
      </xdr:txBody>
    </xdr:sp>
    <xdr:clientData/>
  </xdr:twoCellAnchor>
  <xdr:twoCellAnchor>
    <xdr:from>
      <xdr:col>6</xdr:col>
      <xdr:colOff>222250</xdr:colOff>
      <xdr:row>7</xdr:row>
      <xdr:rowOff>0</xdr:rowOff>
    </xdr:from>
    <xdr:to>
      <xdr:col>9</xdr:col>
      <xdr:colOff>1206500</xdr:colOff>
      <xdr:row>18</xdr:row>
      <xdr:rowOff>187325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BC4AAF31-7A8B-4CCD-8F51-239DE95CB5B6}"/>
            </a:ext>
          </a:extLst>
        </xdr:cNvPr>
        <xdr:cNvSpPr/>
      </xdr:nvSpPr>
      <xdr:spPr>
        <a:xfrm>
          <a:off x="8191500" y="1187450"/>
          <a:ext cx="3270250" cy="2282825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API INSEE SIRENE</a:t>
          </a:r>
          <a:r>
            <a:rPr lang="fr-FR" sz="1200" b="1" baseline="0"/>
            <a:t> - V3</a:t>
          </a:r>
          <a:br>
            <a:rPr lang="fr-FR" sz="1100" baseline="0"/>
          </a:br>
          <a:endParaRPr lang="fr-FR" sz="1100" baseline="0"/>
        </a:p>
        <a:p>
          <a:pPr algn="l"/>
          <a:r>
            <a:rPr lang="fr-FR" sz="1100" baseline="0"/>
            <a:t>Documentation: </a:t>
          </a:r>
          <a:r>
            <a:rPr lang="fr-FR">
              <a:hlinkClick xmlns:r="http://schemas.openxmlformats.org/officeDocument/2006/relationships" r:id=""/>
            </a:rPr>
            <a:t>https://api.insee.fr/catalogue/site/themes/wso2/subthemes/insee/pages/item-info.jag?name=Sirene&amp;version=V3&amp;provider=insee</a:t>
          </a:r>
          <a:endParaRPr lang="fr-FR"/>
        </a:p>
        <a:p>
          <a:pPr algn="l"/>
          <a:endParaRPr lang="fr-FR" sz="1100"/>
        </a:p>
        <a:p>
          <a:pPr algn="l"/>
          <a:r>
            <a:rPr lang="fr-FR" sz="1100"/>
            <a:t>Pour l'utiliser il est nécessaire de créer un</a:t>
          </a:r>
          <a:r>
            <a:rPr lang="fr-FR" sz="1100" baseline="0"/>
            <a:t> compte et de renseigner la Clé API INSEE. </a:t>
          </a:r>
        </a:p>
        <a:p>
          <a:pPr algn="l"/>
          <a:endParaRPr lang="fr-FR" sz="1100" baseline="0"/>
        </a:p>
        <a:p>
          <a:pPr algn="l"/>
          <a:r>
            <a:rPr lang="fr-FR" sz="1100" baseline="0"/>
            <a:t>Elle est valable 7 jours par défaut (il est possible de la mettre à plusieurs années). </a:t>
          </a:r>
          <a:endParaRPr lang="fr-FR" sz="1100"/>
        </a:p>
      </xdr:txBody>
    </xdr:sp>
    <xdr:clientData/>
  </xdr:twoCellAnchor>
  <xdr:twoCellAnchor editAs="oneCell">
    <xdr:from>
      <xdr:col>6</xdr:col>
      <xdr:colOff>129307</xdr:colOff>
      <xdr:row>3</xdr:row>
      <xdr:rowOff>142875</xdr:rowOff>
    </xdr:from>
    <xdr:to>
      <xdr:col>7</xdr:col>
      <xdr:colOff>34924</xdr:colOff>
      <xdr:row>7</xdr:row>
      <xdr:rowOff>15875</xdr:rowOff>
    </xdr:to>
    <xdr:pic>
      <xdr:nvPicPr>
        <xdr:cNvPr id="6" name="Image 5" descr="Loupe – Applications sur Google Play">
          <a:extLst>
            <a:ext uri="{FF2B5EF4-FFF2-40B4-BE49-F238E27FC236}">
              <a16:creationId xmlns:a16="http://schemas.microsoft.com/office/drawing/2014/main" id="{04E1DC1D-B1E9-475A-A346-58902BE1A7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8219207" y="746125"/>
          <a:ext cx="667617" cy="676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OU Florent" refreshedDate="43947.722218634262" createdVersion="6" refreshedVersion="6" minRefreshableVersion="3" recordCount="16" xr:uid="{68B4E08F-1B6D-4D21-9FDD-2F461FA5223D}">
  <cacheSource type="worksheet">
    <worksheetSource ref="A2:G29" sheet="Vérification du Tableau"/>
  </cacheSource>
  <cacheFields count="7">
    <cacheField name="Code Brut" numFmtId="49">
      <sharedItems/>
    </cacheField>
    <cacheField name="Code Pays" numFmtId="0">
      <sharedItems/>
    </cacheField>
    <cacheField name="Code TVA " numFmtId="0">
      <sharedItems/>
    </cacheField>
    <cacheField name="Code Valide" numFmtId="0">
      <sharedItems count="2">
        <b v="1"/>
        <b v="0"/>
      </sharedItems>
    </cacheField>
    <cacheField name="Nom de la société" numFmtId="0">
      <sharedItems/>
    </cacheField>
    <cacheField name="Adresse de la société" numFmtId="0">
      <sharedItems/>
    </cacheField>
    <cacheField name="Date de la requête" numFmtId="14">
      <sharedItems containsSemiMixedTypes="0" containsNonDate="0" containsDate="1" containsString="0" minDate="2020-04-26T00:00:00" maxDate="2020-04-27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s v="FR27440117620"/>
    <s v="FR"/>
    <s v="27440117620"/>
    <x v="0"/>
    <s v="SA GRTGAZ"/>
    <s v="6 RUE RAOUL NORDLING_x000a_92270 BOIS COLOMBES"/>
    <d v="2020-04-26T00:00:00"/>
  </r>
  <r>
    <s v="FR27440117621"/>
    <s v="FR"/>
    <s v="27440117621"/>
    <x v="1"/>
    <s v="---"/>
    <s v="---"/>
    <d v="2020-04-26T00:00:00"/>
  </r>
  <r>
    <s v="FR51451609606"/>
    <s v="FR"/>
    <s v="51451609606"/>
    <x v="0"/>
    <s v="SLRL ARSENE"/>
    <s v="32 RUE DE MONCEAU_x000a_75008 PARIS 08"/>
    <d v="2020-04-26T00:00:00"/>
  </r>
  <r>
    <s v="FR65501706360"/>
    <s v="FR"/>
    <s v="65501706360"/>
    <x v="0"/>
    <s v="SASU EP FRANCE"/>
    <s v="9 RUE DU DEBARCADERE_x000a_92700 COLOMBES"/>
    <d v="2020-04-26T00:00:00"/>
  </r>
  <r>
    <s v="FR94444786511"/>
    <s v="FR"/>
    <s v="94444786511"/>
    <x v="0"/>
    <s v="SA GRDF"/>
    <s v="6 RUE CONDORCET_x000a_75009 PARIS 09"/>
    <d v="2020-04-26T00:00:00"/>
  </r>
  <r>
    <s v="FR39491388914"/>
    <s v="FR"/>
    <s v="39491388914"/>
    <x v="0"/>
    <s v="SAS GAZPROM MARKETING &amp; TRADING FRANCE"/>
    <s v="155-159_x000a_155 RUE ANATOLE FRANCE_x000a_92300 LEVALLOIS PERRET"/>
    <d v="2020-04-26T00:00:00"/>
  </r>
  <r>
    <s v="FR71842361826"/>
    <s v="FR"/>
    <s v="71842361826"/>
    <x v="0"/>
    <s v="SCI ESSOR ENEDIS BLOIS"/>
    <s v="RUE COPERNIC_x000a_41260 LA CHAUSSEE SAINT VICTOR"/>
    <d v="2020-04-26T00:00:00"/>
  </r>
  <r>
    <s v="FR05790113724"/>
    <s v="FR"/>
    <s v="05790113724"/>
    <x v="0"/>
    <s v="SASU TEREGA"/>
    <s v="40 AV DE L'EUROPE_x000a_64000 PAU"/>
    <d v="2020-04-26T00:00:00"/>
  </r>
  <r>
    <s v="FR01572126043"/>
    <s v="FR"/>
    <s v="01572126043"/>
    <x v="0"/>
    <s v="SAS ANTARGAZ"/>
    <s v="IMMEUBLE REFLEX LES RENARDIERE_x000a_4 PL VICTOR HUGO_x000a_92400 COURBEVOIE"/>
    <d v="2020-04-26T00:00:00"/>
  </r>
  <r>
    <s v="FR59542051180"/>
    <s v="FR"/>
    <s v="59542051180"/>
    <x v="0"/>
    <s v="SA TOTAL SA"/>
    <s v="LA DEFENSE 6_x000a_2 PL JEAN MILLIER_x000a_92400 COURBEVOIE"/>
    <d v="2020-04-26T00:00:00"/>
  </r>
  <r>
    <s v="FR27440117621"/>
    <s v="FR"/>
    <s v="27440117621"/>
    <x v="1"/>
    <s v="---"/>
    <s v="---"/>
    <d v="2020-04-26T00:00:00"/>
  </r>
  <r>
    <s v="FR13542107651"/>
    <s v="FR"/>
    <s v="13542107651"/>
    <x v="0"/>
    <s v="SA ENGIE"/>
    <s v="FAUBOURG DE L'ARCHE [A3220]_x000a_1 PL SAMUEL DE CHAMPLAIN_x000a_92400 COURBEVOIE"/>
    <d v="2020-04-26T00:00:00"/>
  </r>
  <r>
    <s v="FR35380415125"/>
    <s v="FR"/>
    <s v="35380415125"/>
    <x v="0"/>
    <s v="SAS EDF INTERNATIONAL"/>
    <s v="20 PL DE LA DEFENSE_x000a_92800 PUTEAUX"/>
    <d v="2020-04-26T00:00:00"/>
  </r>
  <r>
    <s v="FR27440117621"/>
    <s v="FR"/>
    <s v="27440117621"/>
    <x v="1"/>
    <s v="---"/>
    <s v="---"/>
    <d v="2020-04-26T00:00:00"/>
  </r>
  <r>
    <s v="FR59542051180 "/>
    <s v="FR"/>
    <s v="59542051180 "/>
    <x v="1"/>
    <s v="---"/>
    <s v="---"/>
    <d v="2020-04-26T00:00:00"/>
  </r>
  <r>
    <s v="FR27440117621"/>
    <s v="FR"/>
    <s v="27440117621"/>
    <x v="1"/>
    <s v="---"/>
    <s v="---"/>
    <d v="2020-04-26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C0F8A5-F8F9-4666-B7CC-E8CF2A47A461}" name="Tableau croisé dynamique1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1">
  <location ref="A2:B5" firstHeaderRow="1" firstDataRow="1" firstDataCol="1"/>
  <pivotFields count="7">
    <pivotField dataField="1" showAll="0"/>
    <pivotField showAll="0"/>
    <pivotField showAll="0"/>
    <pivotField axis="axisRow" showAll="0" sortType="descending">
      <items count="3">
        <item x="1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4" showAll="0"/>
  </pivotFields>
  <rowFields count="1">
    <field x="3"/>
  </rowFields>
  <rowItems count="3">
    <i>
      <x v="1"/>
    </i>
    <i>
      <x/>
    </i>
    <i t="grand">
      <x/>
    </i>
  </rowItems>
  <colItems count="1">
    <i/>
  </colItems>
  <dataFields count="1">
    <dataField name="Nombre de Code Brut" fld="0" subtotal="count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6CC8BAF-B1A4-4109-9126-9E746B669F90}" name="Tableau1" displayName="Tableau1" ref="A2:G29" totalsRowShown="0" headerRowDxfId="29" dataDxfId="27" headerRowBorderDxfId="28" tableBorderDxfId="26" totalsRowBorderDxfId="25">
  <autoFilter ref="A2:G29" xr:uid="{D7F9C342-3927-4711-BE22-85263EBD4F01}"/>
  <tableColumns count="7">
    <tableColumn id="1" xr3:uid="{2030F69E-5EB8-49A0-9AE3-B3062639521C}" name="Code Brut" dataDxfId="24"/>
    <tableColumn id="2" xr3:uid="{A79EF0F6-F4FC-4D8F-8DFC-840746FCBF5E}" name="Code Pays" dataDxfId="23">
      <calculatedColumnFormula>TRIM(LEFT(A3,2))</calculatedColumnFormula>
    </tableColumn>
    <tableColumn id="3" xr3:uid="{C8F6A039-9391-46F2-BF68-3F9876A62520}" name="Code TVA " dataDxfId="22">
      <calculatedColumnFormula>TRIM(RIGHT(A3,LEN(A3)-2))</calculatedColumnFormula>
    </tableColumn>
    <tableColumn id="4" xr3:uid="{55A16FB6-7CDB-435B-83E0-ACBC61C81B96}" name="Code Valide" dataDxfId="21"/>
    <tableColumn id="5" xr3:uid="{D1AFF7B0-E80B-475F-8F9D-AE000B3E2F0F}" name="Nom de la société" dataDxfId="20"/>
    <tableColumn id="6" xr3:uid="{A5DC309F-A910-405D-964F-019753476824}" name="Adresse de la société" dataDxfId="19"/>
    <tableColumn id="7" xr3:uid="{21817C53-9B7F-417D-B8F4-9F7AE29D16F7}" name="Date de la requête" dataDxfId="18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34BB24-1377-4B56-B5F3-009C916F28D6}" name="Tableau2" displayName="Tableau2" ref="A2:G11" totalsRowShown="0" headerRowDxfId="17" headerRowBorderDxfId="16" tableBorderDxfId="15" totalsRowBorderDxfId="14">
  <autoFilter ref="A2:G11" xr:uid="{C97C17EF-9617-47FF-A654-C1768B42CEFB}"/>
  <tableColumns count="7">
    <tableColumn id="1" xr3:uid="{E47AA18F-9FA4-41EE-AAB4-CD3DDD658091}" name="Code Brut" dataDxfId="13"/>
    <tableColumn id="2" xr3:uid="{AD1A73B1-3905-4158-9A0A-57AECC9FFC57}" name="Code Pays" dataDxfId="12">
      <calculatedColumnFormula>LEFT(A3,2)</calculatedColumnFormula>
    </tableColumn>
    <tableColumn id="3" xr3:uid="{4EF57279-0013-435B-BF74-1A7A05BA9338}" name="Code TVA " dataDxfId="11">
      <calculatedColumnFormula>RIGHT(A3,LEN(A3)-2)</calculatedColumnFormula>
    </tableColumn>
    <tableColumn id="4" xr3:uid="{BF04054F-5EAD-4E24-A07F-4DAA307FFD94}" name="Code Valide" dataDxfId="10">
      <calculatedColumnFormula>tva_valid(B3,C3)</calculatedColumnFormula>
    </tableColumn>
    <tableColumn id="5" xr3:uid="{0935D193-C9BD-4614-9DBA-E716C3D792B7}" name="Nom de la société" dataDxfId="9">
      <calculatedColumnFormula>tva_name(B3,C3)</calculatedColumnFormula>
    </tableColumn>
    <tableColumn id="6" xr3:uid="{F2563C20-1F8B-46AF-B5CF-219E321F0DEC}" name="Adresse de la société" dataDxfId="8">
      <calculatedColumnFormula>tva_address(B3,C3)</calculatedColumnFormula>
    </tableColumn>
    <tableColumn id="7" xr3:uid="{5A9F2CF0-2714-4B8B-A66E-8843CA4337BA}" name="Date de la requête" dataDxfId="7">
      <calculatedColumnFormula>tva_requestDate(B3,C3)</calculatedColumnFormula>
    </tableColumn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0EA3C29-EFD8-4061-980C-02B1AAB0990B}" name="Tableau3" displayName="Tableau3" ref="A9:E36" totalsRowShown="0" headerRowDxfId="6" dataDxfId="5">
  <autoFilter ref="A9:E36" xr:uid="{DCE2CF3B-DB68-4BC4-887F-90EFC94A5B5D}"/>
  <tableColumns count="5">
    <tableColumn id="1" xr3:uid="{9CBD11FF-BA4A-46DD-BEDA-0B52B0F0ECB4}" name="Erreur API INSEE" dataDxfId="4"/>
    <tableColumn id="2" xr3:uid="{7046A7C3-EF09-41D7-B3A9-FF7AD5BDA891}" name="Colonne2" dataDxfId="3"/>
    <tableColumn id="3" xr3:uid="{3326B1F8-ED2D-4092-99A9-A7B705A3AF1C}" name="Colonne3" dataDxfId="2"/>
    <tableColumn id="4" xr3:uid="{CEA9CAA5-A902-472B-9AFB-17F5F20EC9C7}" name="Colonne4" dataDxfId="1"/>
    <tableColumn id="5" xr3:uid="{B9869028-AF99-4D8B-B3D2-4B77B23A7EC1}" name="Colonne5" dataDxfId="0"/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976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37F0A966-859B-40AC-85CB-27CEA15E0B0B}">
  <we:reference id="wa104380862" version="1.3.0.5" store="fr-FR" storeType="OMEX"/>
  <we:alternateReferences>
    <we:reference id="wa104380862" version="1.3.0.5" store="wa104380862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_xldudf_SCRIPTLAB_WEBREQUESTTOGITHUBAPI_GETSTARCOUNT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28C92-BA52-449C-B84A-2789FD4B8EC7}">
  <sheetPr codeName="Feuil1">
    <tabColor theme="9" tint="0.39997558519241921"/>
  </sheetPr>
  <dimension ref="A1:N29"/>
  <sheetViews>
    <sheetView showGridLines="0" tabSelected="1" zoomScale="90" zoomScaleNormal="90" workbookViewId="0">
      <selection activeCell="H8" sqref="H8"/>
    </sheetView>
  </sheetViews>
  <sheetFormatPr baseColWidth="10" defaultRowHeight="14.4" x14ac:dyDescent="0.3"/>
  <cols>
    <col min="1" max="1" width="14.33203125" style="15" bestFit="1" customWidth="1"/>
    <col min="2" max="3" width="13.88671875" style="4" bestFit="1" customWidth="1"/>
    <col min="4" max="4" width="15.33203125" style="9" bestFit="1" customWidth="1"/>
    <col min="5" max="5" width="40.6640625" style="9" bestFit="1" customWidth="1"/>
    <col min="6" max="6" width="22.88671875" style="9" bestFit="1" customWidth="1"/>
    <col min="7" max="7" width="21" style="9" bestFit="1" customWidth="1"/>
  </cols>
  <sheetData>
    <row r="1" spans="1:14" s="1" customFormat="1" x14ac:dyDescent="0.3">
      <c r="A1" s="8">
        <f>COUNTA(B3:B9000)</f>
        <v>27</v>
      </c>
      <c r="B1" s="4"/>
      <c r="C1" s="4"/>
      <c r="D1" s="9"/>
      <c r="E1" s="9"/>
      <c r="F1" s="9"/>
      <c r="G1" s="9"/>
    </row>
    <row r="2" spans="1:14" x14ac:dyDescent="0.3">
      <c r="A2" s="24" t="s">
        <v>7</v>
      </c>
      <c r="B2" s="25" t="s">
        <v>4</v>
      </c>
      <c r="C2" s="25" t="s">
        <v>0</v>
      </c>
      <c r="D2" s="25" t="s">
        <v>1</v>
      </c>
      <c r="E2" s="25" t="s">
        <v>2</v>
      </c>
      <c r="F2" s="25" t="s">
        <v>3</v>
      </c>
      <c r="G2" s="26" t="s">
        <v>13</v>
      </c>
    </row>
    <row r="3" spans="1:14" ht="28.8" x14ac:dyDescent="0.3">
      <c r="A3" s="16" t="s">
        <v>5</v>
      </c>
      <c r="B3" s="3" t="str">
        <f>TRIM(LEFT(A3,2))</f>
        <v>FR</v>
      </c>
      <c r="C3" s="11" t="str">
        <f>TRIM(RIGHT(A3,LEN(A3)-2))</f>
        <v>27440117620</v>
      </c>
      <c r="D3" s="12" t="b">
        <v>1</v>
      </c>
      <c r="E3" s="12" t="s">
        <v>8</v>
      </c>
      <c r="F3" s="13" t="s">
        <v>9</v>
      </c>
      <c r="G3" s="17">
        <v>44641</v>
      </c>
      <c r="K3" s="2"/>
    </row>
    <row r="4" spans="1:14" x14ac:dyDescent="0.3">
      <c r="A4" s="16" t="s">
        <v>6</v>
      </c>
      <c r="B4" s="3" t="str">
        <f t="shared" ref="B4:B18" si="0">TRIM(LEFT(A4,2))</f>
        <v>FR</v>
      </c>
      <c r="C4" s="11" t="str">
        <f t="shared" ref="C4:C18" si="1">TRIM(RIGHT(A4,LEN(A4)-2))</f>
        <v>27440117621</v>
      </c>
      <c r="D4" s="12" t="b">
        <v>0</v>
      </c>
      <c r="E4" s="12" t="s">
        <v>10</v>
      </c>
      <c r="F4" s="13" t="s">
        <v>10</v>
      </c>
      <c r="G4" s="17">
        <v>44641</v>
      </c>
      <c r="K4" s="2"/>
      <c r="M4" s="1"/>
      <c r="N4" s="1"/>
    </row>
    <row r="5" spans="1:14" ht="28.8" x14ac:dyDescent="0.3">
      <c r="A5" s="16" t="s">
        <v>11</v>
      </c>
      <c r="B5" s="3" t="str">
        <f t="shared" si="0"/>
        <v>FR</v>
      </c>
      <c r="C5" s="11" t="str">
        <f t="shared" si="1"/>
        <v>51451609606</v>
      </c>
      <c r="D5" s="12" t="b">
        <v>1</v>
      </c>
      <c r="E5" s="12" t="s">
        <v>12</v>
      </c>
      <c r="F5" s="13" t="s">
        <v>124</v>
      </c>
      <c r="G5" s="17">
        <v>44641</v>
      </c>
      <c r="K5" s="2"/>
    </row>
    <row r="6" spans="1:14" ht="28.8" x14ac:dyDescent="0.3">
      <c r="A6" s="16" t="s">
        <v>23</v>
      </c>
      <c r="B6" s="3" t="str">
        <f t="shared" si="0"/>
        <v>FR</v>
      </c>
      <c r="C6" s="11" t="str">
        <f t="shared" si="1"/>
        <v>65501706360</v>
      </c>
      <c r="D6" s="12" t="b">
        <v>1</v>
      </c>
      <c r="E6" s="12" t="s">
        <v>24</v>
      </c>
      <c r="F6" s="13" t="s">
        <v>125</v>
      </c>
      <c r="G6" s="17">
        <v>44641</v>
      </c>
    </row>
    <row r="7" spans="1:14" ht="43.2" x14ac:dyDescent="0.3">
      <c r="A7" s="16" t="s">
        <v>32</v>
      </c>
      <c r="B7" s="3" t="str">
        <f t="shared" si="0"/>
        <v>FR</v>
      </c>
      <c r="C7" s="11" t="str">
        <f t="shared" si="1"/>
        <v>94444786511</v>
      </c>
      <c r="D7" s="12" t="b">
        <v>1</v>
      </c>
      <c r="E7" s="12" t="s">
        <v>34</v>
      </c>
      <c r="F7" s="13" t="s">
        <v>126</v>
      </c>
      <c r="G7" s="17">
        <v>44641</v>
      </c>
    </row>
    <row r="8" spans="1:14" ht="57.6" x14ac:dyDescent="0.3">
      <c r="A8" s="16" t="s">
        <v>25</v>
      </c>
      <c r="B8" s="3" t="str">
        <f t="shared" si="0"/>
        <v>FR</v>
      </c>
      <c r="C8" s="11" t="str">
        <f t="shared" si="1"/>
        <v>39491388914</v>
      </c>
      <c r="D8" s="12" t="b">
        <v>1</v>
      </c>
      <c r="E8" s="12" t="s">
        <v>127</v>
      </c>
      <c r="F8" s="13" t="s">
        <v>28</v>
      </c>
      <c r="G8" s="17">
        <v>44641</v>
      </c>
    </row>
    <row r="9" spans="1:14" ht="43.2" x14ac:dyDescent="0.3">
      <c r="A9" s="16" t="s">
        <v>33</v>
      </c>
      <c r="B9" s="3" t="str">
        <f t="shared" si="0"/>
        <v>FR</v>
      </c>
      <c r="C9" s="11" t="str">
        <f t="shared" si="1"/>
        <v>71842361826</v>
      </c>
      <c r="D9" s="12" t="b">
        <v>1</v>
      </c>
      <c r="E9" s="12" t="s">
        <v>35</v>
      </c>
      <c r="F9" s="13" t="s">
        <v>128</v>
      </c>
      <c r="G9" s="17">
        <v>44641</v>
      </c>
    </row>
    <row r="10" spans="1:14" ht="28.8" x14ac:dyDescent="0.3">
      <c r="A10" s="16" t="s">
        <v>26</v>
      </c>
      <c r="B10" s="3" t="str">
        <f t="shared" si="0"/>
        <v>FR</v>
      </c>
      <c r="C10" s="11" t="str">
        <f t="shared" si="1"/>
        <v>05790113724</v>
      </c>
      <c r="D10" s="12" t="b">
        <v>1</v>
      </c>
      <c r="E10" s="12" t="s">
        <v>29</v>
      </c>
      <c r="F10" s="13" t="s">
        <v>30</v>
      </c>
      <c r="G10" s="17">
        <v>44641</v>
      </c>
    </row>
    <row r="11" spans="1:14" ht="57.6" x14ac:dyDescent="0.3">
      <c r="A11" s="16" t="s">
        <v>27</v>
      </c>
      <c r="B11" s="3" t="str">
        <f t="shared" si="0"/>
        <v>FR</v>
      </c>
      <c r="C11" s="11" t="str">
        <f t="shared" si="1"/>
        <v>01572126043</v>
      </c>
      <c r="D11" s="12" t="b">
        <v>1</v>
      </c>
      <c r="E11" s="12" t="s">
        <v>31</v>
      </c>
      <c r="F11" s="13" t="s">
        <v>129</v>
      </c>
      <c r="G11" s="17">
        <v>44641</v>
      </c>
    </row>
    <row r="12" spans="1:14" ht="28.8" x14ac:dyDescent="0.3">
      <c r="A12" s="16" t="s">
        <v>18</v>
      </c>
      <c r="B12" s="3" t="str">
        <f t="shared" si="0"/>
        <v>FR</v>
      </c>
      <c r="C12" s="11" t="str">
        <f t="shared" si="1"/>
        <v>59542051180</v>
      </c>
      <c r="D12" s="12" t="b">
        <v>1</v>
      </c>
      <c r="E12" s="12" t="s">
        <v>130</v>
      </c>
      <c r="F12" s="13" t="s">
        <v>131</v>
      </c>
      <c r="G12" s="17">
        <v>44641</v>
      </c>
    </row>
    <row r="13" spans="1:14" x14ac:dyDescent="0.3">
      <c r="A13" s="16" t="s">
        <v>6</v>
      </c>
      <c r="B13" s="3" t="str">
        <f t="shared" si="0"/>
        <v>FR</v>
      </c>
      <c r="C13" s="11" t="str">
        <f t="shared" si="1"/>
        <v>27440117621</v>
      </c>
      <c r="D13" s="12" t="b">
        <v>0</v>
      </c>
      <c r="E13" s="12" t="s">
        <v>10</v>
      </c>
      <c r="F13" s="12" t="s">
        <v>10</v>
      </c>
      <c r="G13" s="17">
        <v>44641</v>
      </c>
    </row>
    <row r="14" spans="1:14" ht="72" x14ac:dyDescent="0.3">
      <c r="A14" s="16" t="s">
        <v>14</v>
      </c>
      <c r="B14" s="3" t="str">
        <f t="shared" si="0"/>
        <v>FR</v>
      </c>
      <c r="C14" s="11" t="str">
        <f t="shared" si="1"/>
        <v>13542107651</v>
      </c>
      <c r="D14" s="12" t="b">
        <v>1</v>
      </c>
      <c r="E14" s="12" t="s">
        <v>16</v>
      </c>
      <c r="F14" s="13" t="s">
        <v>17</v>
      </c>
      <c r="G14" s="17">
        <v>44641</v>
      </c>
    </row>
    <row r="15" spans="1:14" ht="28.8" x14ac:dyDescent="0.3">
      <c r="A15" s="16" t="s">
        <v>19</v>
      </c>
      <c r="B15" s="3" t="str">
        <f t="shared" si="0"/>
        <v>FR</v>
      </c>
      <c r="C15" s="11" t="str">
        <f t="shared" si="1"/>
        <v>35380415125</v>
      </c>
      <c r="D15" s="12" t="b">
        <v>1</v>
      </c>
      <c r="E15" s="12" t="s">
        <v>21</v>
      </c>
      <c r="F15" s="13" t="s">
        <v>22</v>
      </c>
      <c r="G15" s="17">
        <v>44641</v>
      </c>
    </row>
    <row r="16" spans="1:14" x14ac:dyDescent="0.3">
      <c r="A16" s="16" t="s">
        <v>6</v>
      </c>
      <c r="B16" s="3" t="str">
        <f t="shared" si="0"/>
        <v>FR</v>
      </c>
      <c r="C16" s="11" t="str">
        <f t="shared" si="1"/>
        <v>27440117621</v>
      </c>
      <c r="D16" s="12" t="b">
        <v>0</v>
      </c>
      <c r="E16" s="12" t="s">
        <v>10</v>
      </c>
      <c r="F16" s="12" t="s">
        <v>10</v>
      </c>
      <c r="G16" s="17">
        <v>44641</v>
      </c>
    </row>
    <row r="17" spans="1:7" x14ac:dyDescent="0.3">
      <c r="A17" s="16" t="s">
        <v>15</v>
      </c>
      <c r="B17" s="3" t="str">
        <f t="shared" si="0"/>
        <v>FR</v>
      </c>
      <c r="C17" s="11" t="str">
        <f t="shared" si="1"/>
        <v>59542051180 </v>
      </c>
      <c r="D17" s="12" t="b">
        <v>0</v>
      </c>
      <c r="E17" s="12" t="s">
        <v>10</v>
      </c>
      <c r="F17" s="12" t="s">
        <v>10</v>
      </c>
      <c r="G17" s="17">
        <v>44641</v>
      </c>
    </row>
    <row r="18" spans="1:7" x14ac:dyDescent="0.3">
      <c r="A18" s="18" t="s">
        <v>6</v>
      </c>
      <c r="B18" s="19" t="str">
        <f t="shared" si="0"/>
        <v>FR</v>
      </c>
      <c r="C18" s="20" t="str">
        <f t="shared" si="1"/>
        <v>27440117621</v>
      </c>
      <c r="D18" s="21" t="b">
        <v>0</v>
      </c>
      <c r="E18" s="21" t="s">
        <v>10</v>
      </c>
      <c r="F18" s="21" t="s">
        <v>10</v>
      </c>
      <c r="G18" s="22">
        <v>44641</v>
      </c>
    </row>
    <row r="19" spans="1:7" ht="28.8" x14ac:dyDescent="0.3">
      <c r="A19" s="16" t="s">
        <v>111</v>
      </c>
      <c r="B19" s="41" t="str">
        <f t="shared" ref="B19:B29" si="2">TRIM(LEFT(A19,2))</f>
        <v>FR</v>
      </c>
      <c r="C19" s="11" t="str">
        <f t="shared" ref="C19:C29" si="3">TRIM(RIGHT(A19,LEN(A19)-2))</f>
        <v>19501035331</v>
      </c>
      <c r="D19" s="12" t="b">
        <v>1</v>
      </c>
      <c r="E19" s="12" t="s">
        <v>116</v>
      </c>
      <c r="F19" s="13" t="s">
        <v>112</v>
      </c>
      <c r="G19" s="17">
        <v>44641</v>
      </c>
    </row>
    <row r="20" spans="1:7" x14ac:dyDescent="0.3">
      <c r="A20" s="16" t="s">
        <v>108</v>
      </c>
      <c r="B20" s="41" t="str">
        <f t="shared" si="2"/>
        <v>FR</v>
      </c>
      <c r="C20" s="11" t="str">
        <f t="shared" si="3"/>
        <v>75512724949</v>
      </c>
      <c r="D20" s="12" t="b">
        <v>0</v>
      </c>
      <c r="E20" s="12"/>
      <c r="F20" s="12"/>
      <c r="G20" s="17">
        <v>44641</v>
      </c>
    </row>
    <row r="21" spans="1:7" x14ac:dyDescent="0.3">
      <c r="A21" s="16" t="s">
        <v>107</v>
      </c>
      <c r="B21" s="41" t="str">
        <f t="shared" si="2"/>
        <v>FR</v>
      </c>
      <c r="C21" s="11" t="str">
        <f t="shared" si="3"/>
        <v>8509465274</v>
      </c>
      <c r="D21" s="12" t="b">
        <v>0</v>
      </c>
      <c r="E21" s="12" t="s">
        <v>10</v>
      </c>
      <c r="F21" s="12" t="s">
        <v>10</v>
      </c>
      <c r="G21" s="17">
        <v>44641</v>
      </c>
    </row>
    <row r="22" spans="1:7" x14ac:dyDescent="0.3">
      <c r="A22" s="16" t="s">
        <v>109</v>
      </c>
      <c r="B22" s="41" t="str">
        <f t="shared" si="2"/>
        <v>FR</v>
      </c>
      <c r="C22" s="11" t="str">
        <f t="shared" si="3"/>
        <v>30518319215</v>
      </c>
      <c r="D22" s="12" t="b">
        <v>0</v>
      </c>
      <c r="E22" s="12"/>
      <c r="F22" s="12"/>
      <c r="G22" s="17">
        <v>44641</v>
      </c>
    </row>
    <row r="23" spans="1:7" x14ac:dyDescent="0.3">
      <c r="A23" s="16" t="s">
        <v>106</v>
      </c>
      <c r="B23" s="41" t="str">
        <f t="shared" si="2"/>
        <v>FR</v>
      </c>
      <c r="C23" s="11" t="str">
        <f t="shared" si="3"/>
        <v>7452242290</v>
      </c>
      <c r="D23" s="12" t="b">
        <v>0</v>
      </c>
      <c r="E23" s="12" t="s">
        <v>10</v>
      </c>
      <c r="F23" s="12" t="s">
        <v>10</v>
      </c>
      <c r="G23" s="17">
        <v>44641</v>
      </c>
    </row>
    <row r="24" spans="1:7" x14ac:dyDescent="0.3">
      <c r="A24" s="16" t="s">
        <v>110</v>
      </c>
      <c r="B24" s="41" t="str">
        <f t="shared" si="2"/>
        <v>FR</v>
      </c>
      <c r="C24" s="11" t="str">
        <f t="shared" si="3"/>
        <v>75522674142</v>
      </c>
      <c r="D24" s="12" t="b">
        <v>0</v>
      </c>
      <c r="E24" s="12"/>
      <c r="F24" s="13"/>
      <c r="G24" s="17">
        <v>44641</v>
      </c>
    </row>
    <row r="25" spans="1:7" ht="43.2" x14ac:dyDescent="0.3">
      <c r="A25" s="16" t="s">
        <v>114</v>
      </c>
      <c r="B25" s="41" t="str">
        <f t="shared" si="2"/>
        <v>FR</v>
      </c>
      <c r="C25" s="11" t="str">
        <f t="shared" si="3"/>
        <v>54572215721</v>
      </c>
      <c r="D25" s="12" t="b">
        <v>1</v>
      </c>
      <c r="E25" s="12" t="s">
        <v>132</v>
      </c>
      <c r="F25" s="13" t="s">
        <v>20</v>
      </c>
      <c r="G25" s="17">
        <v>44641</v>
      </c>
    </row>
    <row r="26" spans="1:7" x14ac:dyDescent="0.3">
      <c r="A26" s="16" t="s">
        <v>113</v>
      </c>
      <c r="B26" s="41" t="str">
        <f t="shared" si="2"/>
        <v>FR</v>
      </c>
      <c r="C26" s="11" t="str">
        <f t="shared" si="3"/>
        <v>88626620090</v>
      </c>
      <c r="D26" s="12" t="b">
        <v>0</v>
      </c>
      <c r="E26" s="12"/>
      <c r="F26" s="12"/>
      <c r="G26" s="17">
        <v>44641</v>
      </c>
    </row>
    <row r="27" spans="1:7" x14ac:dyDescent="0.3">
      <c r="A27" s="16" t="s">
        <v>105</v>
      </c>
      <c r="B27" s="41" t="str">
        <f t="shared" si="2"/>
        <v>FR</v>
      </c>
      <c r="C27" s="11" t="str">
        <f t="shared" si="3"/>
        <v>50428629562</v>
      </c>
      <c r="D27" s="12" t="b">
        <v>0</v>
      </c>
      <c r="E27" s="12"/>
      <c r="F27" s="13"/>
      <c r="G27" s="17">
        <v>44641</v>
      </c>
    </row>
    <row r="28" spans="1:7" ht="28.8" x14ac:dyDescent="0.3">
      <c r="A28" s="16" t="s">
        <v>115</v>
      </c>
      <c r="B28" s="41" t="str">
        <f t="shared" si="2"/>
        <v>FR</v>
      </c>
      <c r="C28" s="11" t="str">
        <f t="shared" si="3"/>
        <v>50815195417</v>
      </c>
      <c r="D28" s="12" t="b">
        <v>1</v>
      </c>
      <c r="E28" s="12" t="s">
        <v>117</v>
      </c>
      <c r="F28" s="13" t="s">
        <v>133</v>
      </c>
      <c r="G28" s="17">
        <v>44641</v>
      </c>
    </row>
    <row r="29" spans="1:7" ht="43.2" x14ac:dyDescent="0.3">
      <c r="A29" s="18" t="s">
        <v>104</v>
      </c>
      <c r="B29" s="42" t="str">
        <f t="shared" si="2"/>
        <v>FR</v>
      </c>
      <c r="C29" s="20" t="str">
        <f t="shared" si="3"/>
        <v>76352007363</v>
      </c>
      <c r="D29" s="21" t="b">
        <v>1</v>
      </c>
      <c r="E29" s="21" t="s">
        <v>134</v>
      </c>
      <c r="F29" s="23" t="s">
        <v>20</v>
      </c>
      <c r="G29" s="22">
        <v>44641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571EE-7653-4C71-A1CA-3BEEBB1D3849}">
  <sheetPr codeName="Feuil2">
    <tabColor theme="9" tint="0.39997558519241921"/>
  </sheetPr>
  <dimension ref="A1:N17"/>
  <sheetViews>
    <sheetView showGridLines="0" zoomScale="70" zoomScaleNormal="70" workbookViewId="0">
      <selection activeCell="I6" sqref="I6"/>
    </sheetView>
  </sheetViews>
  <sheetFormatPr baseColWidth="10" defaultRowHeight="14.4" x14ac:dyDescent="0.3"/>
  <cols>
    <col min="1" max="1" width="10.88671875" style="5"/>
    <col min="2" max="2" width="11" style="7" customWidth="1"/>
    <col min="3" max="3" width="11" style="5" customWidth="1"/>
    <col min="4" max="4" width="86.109375" style="5" customWidth="1"/>
    <col min="5" max="5" width="40.5546875" style="5" customWidth="1"/>
    <col min="6" max="6" width="19.88671875" style="5" customWidth="1"/>
    <col min="7" max="7" width="17.88671875" style="5" customWidth="1"/>
  </cols>
  <sheetData>
    <row r="1" spans="1:14" x14ac:dyDescent="0.3">
      <c r="A1" s="8">
        <f>COUNTA(B3:B24)</f>
        <v>9</v>
      </c>
      <c r="B1" s="6"/>
      <c r="C1" s="4"/>
      <c r="D1" s="9"/>
      <c r="E1" s="9"/>
      <c r="F1" s="9"/>
      <c r="G1" s="9"/>
    </row>
    <row r="2" spans="1:14" x14ac:dyDescent="0.3">
      <c r="A2" s="24" t="s">
        <v>7</v>
      </c>
      <c r="B2" s="25" t="s">
        <v>4</v>
      </c>
      <c r="C2" s="25" t="s">
        <v>0</v>
      </c>
      <c r="D2" s="25" t="s">
        <v>1</v>
      </c>
      <c r="E2" s="25" t="s">
        <v>2</v>
      </c>
      <c r="F2" s="25" t="s">
        <v>3</v>
      </c>
      <c r="G2" s="26" t="s">
        <v>13</v>
      </c>
    </row>
    <row r="3" spans="1:14" ht="57.6" x14ac:dyDescent="0.3">
      <c r="A3" s="16" t="s">
        <v>5</v>
      </c>
      <c r="B3" s="3" t="str">
        <f>LEFT(A3,2)</f>
        <v>FR</v>
      </c>
      <c r="C3" s="11" t="str">
        <f>RIGHT(A3,LEN(A3)-2)</f>
        <v>27440117620</v>
      </c>
      <c r="D3" s="12" t="b">
        <f>tva_valid(B3,C3)</f>
        <v>1</v>
      </c>
      <c r="E3" s="12" t="str">
        <f>tva_name(B3,C3)</f>
        <v>SA GRTGAZ</v>
      </c>
      <c r="F3" s="13" t="str">
        <f>tva_address(B3,C3)</f>
        <v>6 RUE RAOUL NORDLING
92270 BOIS COLOMBES</v>
      </c>
      <c r="G3" s="17">
        <f>tva_requestDate(B3,C3)</f>
        <v>44641</v>
      </c>
      <c r="H3" s="1"/>
      <c r="I3" s="1"/>
      <c r="J3" s="1"/>
      <c r="K3" s="1"/>
      <c r="L3" s="1"/>
      <c r="M3" s="1"/>
      <c r="N3" s="1"/>
    </row>
    <row r="4" spans="1:14" ht="28.8" x14ac:dyDescent="0.3">
      <c r="A4" s="18" t="s">
        <v>11</v>
      </c>
      <c r="B4" s="19" t="str">
        <f>LEFT(A4,2)</f>
        <v>FR</v>
      </c>
      <c r="C4" s="20" t="str">
        <f>RIGHT(A4,LEN(A4)-2)</f>
        <v>51451609606</v>
      </c>
      <c r="D4" s="21" t="b">
        <f>tva_valid(B4,C4)</f>
        <v>1</v>
      </c>
      <c r="E4" s="21" t="str">
        <f>tva_name(B4,C4)</f>
        <v>SLRL ARSENE</v>
      </c>
      <c r="F4" s="23" t="str">
        <f>tva_address(B4,C4)</f>
        <v>32 RUE DE MONCEAU
75008 PARIS</v>
      </c>
      <c r="G4" s="22">
        <f>tva_requestDate(B4,C4)</f>
        <v>44641</v>
      </c>
      <c r="H4" s="1"/>
      <c r="I4" s="1"/>
      <c r="J4" s="1"/>
      <c r="K4" s="1"/>
      <c r="L4" s="1"/>
      <c r="M4" s="1"/>
      <c r="N4" s="1"/>
    </row>
    <row r="5" spans="1:14" ht="72" x14ac:dyDescent="0.3">
      <c r="A5" s="16" t="s">
        <v>97</v>
      </c>
      <c r="B5" s="3" t="str">
        <f t="shared" ref="B5:B11" si="0">LEFT(A5,2)</f>
        <v>FR</v>
      </c>
      <c r="C5" s="11" t="str">
        <f t="shared" ref="C5:C11" si="1">RIGHT(A5,LEN(A5)-2)</f>
        <v>3949 1388914</v>
      </c>
      <c r="D5" s="12" t="b">
        <f>tva_valid(B5,C5)</f>
        <v>1</v>
      </c>
      <c r="E5" s="21" t="str">
        <f>tva_name(B5,C5)</f>
        <v>SAS GAZPROM MARKETING ET TRADING FRANCE</v>
      </c>
      <c r="F5" s="23" t="str">
        <f>tva_address(B5,C5)</f>
        <v>155-159
155 RUE ANATOLE FRANCE
92300 LEVALLOIS PERRET</v>
      </c>
      <c r="G5" s="22">
        <f>tva_requestDate(B5,C5)</f>
        <v>44641</v>
      </c>
      <c r="H5" s="1"/>
      <c r="I5" s="1"/>
      <c r="J5" s="1"/>
      <c r="K5" s="1"/>
      <c r="L5" s="1"/>
      <c r="M5" s="1"/>
      <c r="N5" s="1"/>
    </row>
    <row r="6" spans="1:14" ht="43.2" x14ac:dyDescent="0.3">
      <c r="A6" s="16" t="s">
        <v>33</v>
      </c>
      <c r="B6" s="3" t="str">
        <f t="shared" si="0"/>
        <v>FR</v>
      </c>
      <c r="C6" s="11" t="str">
        <f t="shared" si="1"/>
        <v>71842361826</v>
      </c>
      <c r="D6" s="12" t="b">
        <f>tva_valid(B6,C6)</f>
        <v>1</v>
      </c>
      <c r="E6" s="21" t="str">
        <f>tva_name(B6,C6)</f>
        <v>SCI ESSOR ENEDIS BLOIS</v>
      </c>
      <c r="F6" s="23" t="str">
        <f>tva_address(B6,C6)</f>
        <v>RUE COPERNIC
41260 LA CHAUSSEE ST VICTOR</v>
      </c>
      <c r="G6" s="22">
        <f>tva_requestDate(B6,C6)</f>
        <v>44641</v>
      </c>
      <c r="H6" s="1"/>
      <c r="I6" s="1"/>
      <c r="J6" s="1"/>
      <c r="K6" s="1"/>
      <c r="L6" s="1"/>
      <c r="M6" s="1"/>
      <c r="N6" s="1"/>
    </row>
    <row r="7" spans="1:14" ht="28.8" x14ac:dyDescent="0.3">
      <c r="A7" s="16" t="s">
        <v>26</v>
      </c>
      <c r="B7" s="3" t="str">
        <f t="shared" si="0"/>
        <v>FR</v>
      </c>
      <c r="C7" s="11" t="str">
        <f t="shared" si="1"/>
        <v>05790113724</v>
      </c>
      <c r="D7" s="12" t="b">
        <f>tva_valid(B7,C7)</f>
        <v>1</v>
      </c>
      <c r="E7" s="21" t="str">
        <f>tva_name(B7,C7)</f>
        <v>SASU TEREGA</v>
      </c>
      <c r="F7" s="23" t="str">
        <f>tva_address(B7,C7)</f>
        <v>40 AV DE L'EUROPE
64000 PAU</v>
      </c>
      <c r="G7" s="22">
        <f>tva_requestDate(B7,C7)</f>
        <v>44641</v>
      </c>
      <c r="H7" s="1"/>
      <c r="I7" s="1"/>
      <c r="J7" s="1"/>
      <c r="K7" s="1"/>
      <c r="L7" s="1"/>
      <c r="M7" s="1"/>
      <c r="N7" s="1"/>
    </row>
    <row r="8" spans="1:14" ht="57.6" x14ac:dyDescent="0.3">
      <c r="A8" s="16" t="s">
        <v>27</v>
      </c>
      <c r="B8" s="3" t="str">
        <f t="shared" si="0"/>
        <v>FR</v>
      </c>
      <c r="C8" s="11" t="str">
        <f t="shared" si="1"/>
        <v>01572126043</v>
      </c>
      <c r="D8" s="12" t="b">
        <f>tva_valid(B8,C8)</f>
        <v>1</v>
      </c>
      <c r="E8" s="21" t="str">
        <f>tva_name(B8,C8)</f>
        <v>SAS ANTARGAZ</v>
      </c>
      <c r="F8" s="23" t="str">
        <f>tva_address(B8,C8)</f>
        <v>IMMEUBLE REFLEX LES RENARDIERES
4 PL VICTOR HUGO
92400 COURBEVOIE</v>
      </c>
      <c r="G8" s="22">
        <f>tva_requestDate(B8,C8)</f>
        <v>44641</v>
      </c>
      <c r="I8" s="1"/>
      <c r="J8" s="1"/>
      <c r="K8" s="1"/>
      <c r="L8" s="1"/>
      <c r="M8" s="1"/>
      <c r="N8" s="1"/>
    </row>
    <row r="9" spans="1:14" ht="43.2" x14ac:dyDescent="0.3">
      <c r="A9" s="16" t="s">
        <v>18</v>
      </c>
      <c r="B9" s="3" t="str">
        <f t="shared" si="0"/>
        <v>FR</v>
      </c>
      <c r="C9" s="11" t="str">
        <f t="shared" si="1"/>
        <v>59542051180</v>
      </c>
      <c r="D9" s="12" t="b">
        <f>tva_valid(B9,C9)</f>
        <v>1</v>
      </c>
      <c r="E9" s="21" t="str">
        <f>tva_name(B9,C9)</f>
        <v>SE TOTAL SE</v>
      </c>
      <c r="F9" s="23" t="str">
        <f>tva_address(B9,C9)</f>
        <v>2 PL JEAN MILLIER
92400 COURBEVOIE</v>
      </c>
      <c r="G9" s="22">
        <f>tva_requestDate(B9,C9)</f>
        <v>44641</v>
      </c>
    </row>
    <row r="10" spans="1:14" x14ac:dyDescent="0.3">
      <c r="A10" s="16" t="s">
        <v>6</v>
      </c>
      <c r="B10" s="3" t="str">
        <f t="shared" si="0"/>
        <v>FR</v>
      </c>
      <c r="C10" s="11" t="str">
        <f t="shared" si="1"/>
        <v>27440117621</v>
      </c>
      <c r="D10" s="12" t="b">
        <f>tva_valid(B10,C10)</f>
        <v>0</v>
      </c>
      <c r="E10" s="21" t="str">
        <f>tva_name(B10,C10)</f>
        <v>---</v>
      </c>
      <c r="F10" s="23" t="str">
        <f>tva_address(B10,C10)</f>
        <v>---</v>
      </c>
      <c r="G10" s="22">
        <f>tva_requestDate(B10,C10)</f>
        <v>44641</v>
      </c>
    </row>
    <row r="11" spans="1:14" ht="72" x14ac:dyDescent="0.3">
      <c r="A11" s="18" t="s">
        <v>14</v>
      </c>
      <c r="B11" s="19" t="str">
        <f t="shared" si="0"/>
        <v>FR</v>
      </c>
      <c r="C11" s="20" t="str">
        <f t="shared" si="1"/>
        <v>13542107651</v>
      </c>
      <c r="D11" s="12" t="b">
        <f>tva_valid(B11,C11)</f>
        <v>1</v>
      </c>
      <c r="E11" s="21" t="str">
        <f>tva_name(B11,C11)</f>
        <v>SA ENGIE</v>
      </c>
      <c r="F11" s="23" t="str">
        <f>tva_address(B11,C11)</f>
        <v>FAUBOURG DE L'ARCHE [A3220]
1 PL SAMUEL DE CHAMPLAIN
92400 COURBEVOIE</v>
      </c>
      <c r="G11" s="22">
        <f>tva_requestDate(B11,C11)</f>
        <v>44641</v>
      </c>
    </row>
    <row r="12" spans="1:14" x14ac:dyDescent="0.3">
      <c r="A12" s="10"/>
      <c r="B12" s="3"/>
      <c r="C12" s="11"/>
      <c r="D12" s="12"/>
      <c r="E12" s="12"/>
      <c r="F12" s="13"/>
      <c r="G12" s="14"/>
    </row>
    <row r="13" spans="1:14" x14ac:dyDescent="0.3">
      <c r="A13" s="10"/>
      <c r="B13" s="3"/>
      <c r="C13" s="11"/>
      <c r="D13" s="12"/>
      <c r="E13" s="12"/>
      <c r="F13" s="13"/>
      <c r="G13" s="14"/>
    </row>
    <row r="14" spans="1:14" x14ac:dyDescent="0.3">
      <c r="A14" s="10"/>
      <c r="B14" s="3"/>
      <c r="C14" s="11"/>
      <c r="D14" s="12"/>
      <c r="E14" s="12"/>
      <c r="F14" s="13"/>
      <c r="G14" s="14"/>
    </row>
    <row r="15" spans="1:14" x14ac:dyDescent="0.3">
      <c r="A15" s="10"/>
      <c r="B15" s="3"/>
      <c r="C15" s="11"/>
      <c r="D15" s="12"/>
      <c r="E15" s="12"/>
      <c r="F15" s="13"/>
      <c r="G15" s="14"/>
    </row>
    <row r="16" spans="1:14" x14ac:dyDescent="0.3">
      <c r="A16" s="10"/>
      <c r="B16" s="3"/>
      <c r="C16" s="11"/>
      <c r="D16" s="12"/>
      <c r="E16" s="12"/>
      <c r="F16" s="13"/>
      <c r="G16" s="14"/>
    </row>
    <row r="17" spans="1:7" x14ac:dyDescent="0.3">
      <c r="A17" s="15"/>
      <c r="B17" s="6"/>
      <c r="C17" s="4"/>
      <c r="D17" s="9"/>
      <c r="E17" s="9"/>
      <c r="F17" s="9"/>
      <c r="G17" s="9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6722C-45B5-40DA-97F6-E56870FFAB61}">
  <sheetPr codeName="Feuil3">
    <tabColor theme="4" tint="0.59999389629810485"/>
  </sheetPr>
  <dimension ref="A2:G47"/>
  <sheetViews>
    <sheetView showGridLines="0" workbookViewId="0">
      <selection activeCell="A9" sqref="A9"/>
    </sheetView>
  </sheetViews>
  <sheetFormatPr baseColWidth="10" defaultRowHeight="14.4" x14ac:dyDescent="0.3"/>
  <cols>
    <col min="1" max="1" width="17.109375" customWidth="1"/>
    <col min="2" max="2" width="17.88671875" customWidth="1"/>
    <col min="3" max="3" width="2.88671875" bestFit="1" customWidth="1"/>
    <col min="4" max="5" width="32.88671875" bestFit="1" customWidth="1"/>
    <col min="6" max="6" width="27.109375" bestFit="1" customWidth="1"/>
    <col min="7" max="7" width="30.5546875" bestFit="1" customWidth="1"/>
    <col min="8" max="8" width="41.88671875" bestFit="1" customWidth="1"/>
    <col min="9" max="9" width="37.5546875" bestFit="1" customWidth="1"/>
    <col min="10" max="10" width="70.88671875" bestFit="1" customWidth="1"/>
    <col min="11" max="11" width="65.5546875" bestFit="1" customWidth="1"/>
    <col min="12" max="12" width="46" bestFit="1" customWidth="1"/>
    <col min="13" max="13" width="43.44140625" bestFit="1" customWidth="1"/>
    <col min="14" max="14" width="11.6640625" bestFit="1" customWidth="1"/>
  </cols>
  <sheetData>
    <row r="2" spans="1:7" x14ac:dyDescent="0.3">
      <c r="A2" s="28" t="s">
        <v>37</v>
      </c>
      <c r="B2" t="s">
        <v>36</v>
      </c>
    </row>
    <row r="3" spans="1:7" x14ac:dyDescent="0.3">
      <c r="A3" s="29" t="s">
        <v>39</v>
      </c>
      <c r="B3" s="27">
        <v>11</v>
      </c>
      <c r="G3" s="47" t="s">
        <v>122</v>
      </c>
    </row>
    <row r="4" spans="1:7" x14ac:dyDescent="0.3">
      <c r="A4" s="29" t="s">
        <v>38</v>
      </c>
      <c r="B4" s="27">
        <v>5</v>
      </c>
      <c r="G4" s="47"/>
    </row>
    <row r="5" spans="1:7" x14ac:dyDescent="0.3">
      <c r="A5" s="29" t="s">
        <v>40</v>
      </c>
      <c r="B5" s="27">
        <v>16</v>
      </c>
      <c r="G5" s="47"/>
    </row>
    <row r="6" spans="1:7" x14ac:dyDescent="0.3">
      <c r="G6" s="47"/>
    </row>
    <row r="14" spans="1:7" s="30" customFormat="1" x14ac:dyDescent="0.3"/>
    <row r="15" spans="1:7" s="30" customFormat="1" x14ac:dyDescent="0.3"/>
    <row r="17" spans="1:3" x14ac:dyDescent="0.3">
      <c r="A17" s="1" t="s">
        <v>69</v>
      </c>
      <c r="B17" s="1" t="s">
        <v>41</v>
      </c>
      <c r="C17">
        <f>COUNTIFS(Tableau1[Code Pays],Analyse!A17)</f>
        <v>0</v>
      </c>
    </row>
    <row r="18" spans="1:3" x14ac:dyDescent="0.3">
      <c r="A18" s="1" t="s">
        <v>70</v>
      </c>
      <c r="B18" s="1" t="s">
        <v>42</v>
      </c>
      <c r="C18" s="1">
        <f>COUNTIFS(Tableau1[Code Pays],Analyse!A18)</f>
        <v>0</v>
      </c>
    </row>
    <row r="19" spans="1:3" x14ac:dyDescent="0.3">
      <c r="A19" s="1" t="s">
        <v>71</v>
      </c>
      <c r="B19" s="1" t="s">
        <v>43</v>
      </c>
      <c r="C19" s="1">
        <f>COUNTIFS(Tableau1[Code Pays],Analyse!A19)</f>
        <v>0</v>
      </c>
    </row>
    <row r="20" spans="1:3" x14ac:dyDescent="0.3">
      <c r="A20" s="1" t="s">
        <v>72</v>
      </c>
      <c r="B20" s="1" t="s">
        <v>44</v>
      </c>
      <c r="C20" s="1">
        <f>COUNTIFS(Tableau1[Code Pays],Analyse!A20)</f>
        <v>0</v>
      </c>
    </row>
    <row r="21" spans="1:3" x14ac:dyDescent="0.3">
      <c r="A21" s="1" t="s">
        <v>73</v>
      </c>
      <c r="B21" s="1" t="s">
        <v>45</v>
      </c>
      <c r="C21" s="1">
        <f>COUNTIFS(Tableau1[Code Pays],Analyse!A21)</f>
        <v>0</v>
      </c>
    </row>
    <row r="22" spans="1:3" x14ac:dyDescent="0.3">
      <c r="A22" s="1" t="s">
        <v>74</v>
      </c>
      <c r="B22" s="1" t="s">
        <v>46</v>
      </c>
      <c r="C22" s="1">
        <f>COUNTIFS(Tableau1[Code Pays],Analyse!A22)</f>
        <v>0</v>
      </c>
    </row>
    <row r="23" spans="1:3" x14ac:dyDescent="0.3">
      <c r="A23" s="1" t="s">
        <v>75</v>
      </c>
      <c r="B23" s="1" t="s">
        <v>47</v>
      </c>
      <c r="C23" s="1">
        <f>COUNTIFS(Tableau1[Code Pays],Analyse!A23)</f>
        <v>0</v>
      </c>
    </row>
    <row r="24" spans="1:3" x14ac:dyDescent="0.3">
      <c r="A24" s="1" t="s">
        <v>76</v>
      </c>
      <c r="B24" s="1" t="s">
        <v>48</v>
      </c>
      <c r="C24" s="1">
        <f>COUNTIFS(Tableau1[Code Pays],Analyse!A24)</f>
        <v>0</v>
      </c>
    </row>
    <row r="25" spans="1:3" x14ac:dyDescent="0.3">
      <c r="A25" s="1" t="s">
        <v>77</v>
      </c>
      <c r="B25" s="1" t="s">
        <v>49</v>
      </c>
      <c r="C25" s="1">
        <f>COUNTIFS(Tableau1[Code Pays],Analyse!A25)</f>
        <v>0</v>
      </c>
    </row>
    <row r="26" spans="1:3" x14ac:dyDescent="0.3">
      <c r="A26" s="1" t="s">
        <v>78</v>
      </c>
      <c r="B26" s="1" t="s">
        <v>50</v>
      </c>
      <c r="C26" s="1">
        <f>COUNTIFS(Tableau1[Code Pays],Analyse!A26)</f>
        <v>0</v>
      </c>
    </row>
    <row r="27" spans="1:3" x14ac:dyDescent="0.3">
      <c r="A27" s="1" t="s">
        <v>79</v>
      </c>
      <c r="B27" s="1" t="s">
        <v>51</v>
      </c>
      <c r="C27" s="1">
        <f>COUNTIFS(Tableau1[Code Pays],Analyse!A27)</f>
        <v>27</v>
      </c>
    </row>
    <row r="28" spans="1:3" x14ac:dyDescent="0.3">
      <c r="A28" s="1" t="s">
        <v>80</v>
      </c>
      <c r="B28" s="1" t="s">
        <v>52</v>
      </c>
      <c r="C28" s="1">
        <f>COUNTIFS(Tableau1[Code Pays],Analyse!A28)</f>
        <v>0</v>
      </c>
    </row>
    <row r="29" spans="1:3" x14ac:dyDescent="0.3">
      <c r="A29" s="1" t="s">
        <v>81</v>
      </c>
      <c r="B29" s="1" t="s">
        <v>53</v>
      </c>
      <c r="C29" s="1">
        <f>COUNTIFS(Tableau1[Code Pays],Analyse!A29)</f>
        <v>0</v>
      </c>
    </row>
    <row r="30" spans="1:3" x14ac:dyDescent="0.3">
      <c r="A30" s="1" t="s">
        <v>82</v>
      </c>
      <c r="B30" s="1" t="s">
        <v>54</v>
      </c>
      <c r="C30" s="1">
        <f>COUNTIFS(Tableau1[Code Pays],Analyse!A30)</f>
        <v>0</v>
      </c>
    </row>
    <row r="31" spans="1:3" x14ac:dyDescent="0.3">
      <c r="A31" s="1" t="s">
        <v>83</v>
      </c>
      <c r="B31" s="1" t="s">
        <v>55</v>
      </c>
      <c r="C31" s="1">
        <f>COUNTIFS(Tableau1[Code Pays],Analyse!A31)</f>
        <v>0</v>
      </c>
    </row>
    <row r="32" spans="1:3" x14ac:dyDescent="0.3">
      <c r="A32" s="1" t="s">
        <v>84</v>
      </c>
      <c r="B32" s="1" t="s">
        <v>56</v>
      </c>
      <c r="C32" s="1">
        <f>COUNTIFS(Tableau1[Code Pays],Analyse!A32)</f>
        <v>0</v>
      </c>
    </row>
    <row r="33" spans="1:3" x14ac:dyDescent="0.3">
      <c r="A33" s="1" t="s">
        <v>85</v>
      </c>
      <c r="B33" s="1" t="s">
        <v>57</v>
      </c>
      <c r="C33" s="1">
        <f>COUNTIFS(Tableau1[Code Pays],Analyse!A33)</f>
        <v>0</v>
      </c>
    </row>
    <row r="34" spans="1:3" x14ac:dyDescent="0.3">
      <c r="A34" s="1" t="s">
        <v>86</v>
      </c>
      <c r="B34" s="1" t="s">
        <v>58</v>
      </c>
      <c r="C34" s="1">
        <f>COUNTIFS(Tableau1[Code Pays],Analyse!A34)</f>
        <v>0</v>
      </c>
    </row>
    <row r="35" spans="1:3" x14ac:dyDescent="0.3">
      <c r="A35" s="1" t="s">
        <v>87</v>
      </c>
      <c r="B35" s="1" t="s">
        <v>59</v>
      </c>
      <c r="C35" s="1">
        <f>COUNTIFS(Tableau1[Code Pays],Analyse!A35)</f>
        <v>0</v>
      </c>
    </row>
    <row r="36" spans="1:3" x14ac:dyDescent="0.3">
      <c r="A36" s="1" t="s">
        <v>88</v>
      </c>
      <c r="B36" s="1" t="s">
        <v>60</v>
      </c>
      <c r="C36" s="1">
        <f>COUNTIFS(Tableau1[Code Pays],Analyse!A36)</f>
        <v>0</v>
      </c>
    </row>
    <row r="37" spans="1:3" x14ac:dyDescent="0.3">
      <c r="A37" s="1" t="s">
        <v>89</v>
      </c>
      <c r="B37" s="1" t="s">
        <v>61</v>
      </c>
      <c r="C37" s="1">
        <f>COUNTIFS(Tableau1[Code Pays],Analyse!A37)</f>
        <v>0</v>
      </c>
    </row>
    <row r="38" spans="1:3" x14ac:dyDescent="0.3">
      <c r="A38" s="1" t="s">
        <v>90</v>
      </c>
      <c r="B38" s="1" t="s">
        <v>62</v>
      </c>
      <c r="C38" s="1">
        <f>COUNTIFS(Tableau1[Code Pays],Analyse!A38)</f>
        <v>0</v>
      </c>
    </row>
    <row r="39" spans="1:3" x14ac:dyDescent="0.3">
      <c r="A39" s="1" t="s">
        <v>91</v>
      </c>
      <c r="B39" s="1" t="s">
        <v>63</v>
      </c>
      <c r="C39" s="1">
        <f>COUNTIFS(Tableau1[Code Pays],Analyse!A39)</f>
        <v>0</v>
      </c>
    </row>
    <row r="40" spans="1:3" x14ac:dyDescent="0.3">
      <c r="A40" s="1" t="s">
        <v>92</v>
      </c>
      <c r="B40" s="1" t="s">
        <v>64</v>
      </c>
      <c r="C40" s="1">
        <f>COUNTIFS(Tableau1[Code Pays],Analyse!A40)</f>
        <v>0</v>
      </c>
    </row>
    <row r="41" spans="1:3" x14ac:dyDescent="0.3">
      <c r="A41" s="1" t="s">
        <v>93</v>
      </c>
      <c r="B41" s="1" t="s">
        <v>65</v>
      </c>
      <c r="C41" s="1">
        <f>COUNTIFS(Tableau1[Code Pays],Analyse!A41)</f>
        <v>0</v>
      </c>
    </row>
    <row r="42" spans="1:3" x14ac:dyDescent="0.3">
      <c r="A42" s="1" t="s">
        <v>94</v>
      </c>
      <c r="B42" s="1" t="s">
        <v>66</v>
      </c>
      <c r="C42" s="1">
        <f>COUNTIFS(Tableau1[Code Pays],Analyse!A42)</f>
        <v>0</v>
      </c>
    </row>
    <row r="43" spans="1:3" x14ac:dyDescent="0.3">
      <c r="A43" s="1" t="s">
        <v>95</v>
      </c>
      <c r="B43" s="1" t="s">
        <v>67</v>
      </c>
      <c r="C43" s="1">
        <f>COUNTIFS(Tableau1[Code Pays],Analyse!A43)</f>
        <v>0</v>
      </c>
    </row>
    <row r="44" spans="1:3" x14ac:dyDescent="0.3">
      <c r="A44" s="1" t="s">
        <v>96</v>
      </c>
      <c r="B44" s="1" t="s">
        <v>68</v>
      </c>
      <c r="C44" s="1">
        <f>COUNTIFS(Tableau1[Code Pays],Analyse!A44)</f>
        <v>0</v>
      </c>
    </row>
    <row r="46" spans="1:3" s="30" customFormat="1" x14ac:dyDescent="0.3"/>
    <row r="47" spans="1:3" s="30" customFormat="1" x14ac:dyDescent="0.3"/>
  </sheetData>
  <mergeCells count="1">
    <mergeCell ref="G3:G6"/>
  </mergeCells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5D883-1F57-40A0-98F2-5318DC29FD4C}">
  <sheetPr codeName="Feuil4">
    <tabColor rgb="FFFFC000"/>
  </sheetPr>
  <dimension ref="A1:K32"/>
  <sheetViews>
    <sheetView showGridLines="0" workbookViewId="0">
      <selection activeCell="G25" sqref="G25"/>
    </sheetView>
  </sheetViews>
  <sheetFormatPr baseColWidth="10" defaultRowHeight="14.4" x14ac:dyDescent="0.3"/>
  <cols>
    <col min="1" max="1" width="27.44140625" style="5" customWidth="1"/>
    <col min="2" max="2" width="27.109375" style="5" customWidth="1"/>
    <col min="3" max="3" width="14.5546875" style="5" bestFit="1" customWidth="1"/>
    <col min="4" max="4" width="22.88671875" style="5" bestFit="1" customWidth="1"/>
    <col min="5" max="5" width="19.44140625" style="5" bestFit="1" customWidth="1"/>
    <col min="6" max="6" width="9.88671875" bestFit="1" customWidth="1"/>
    <col min="10" max="10" width="21.88671875" bestFit="1" customWidth="1"/>
  </cols>
  <sheetData>
    <row r="1" spans="1:11" s="1" customFormat="1" ht="16.2" thickBot="1" x14ac:dyDescent="0.35">
      <c r="A1" s="48" t="s">
        <v>121</v>
      </c>
      <c r="B1" s="49"/>
      <c r="C1" s="5"/>
      <c r="D1" s="5">
        <f>COUNTA(Tableau3[Erreur API INSEE])</f>
        <v>1</v>
      </c>
      <c r="E1" s="5"/>
    </row>
    <row r="2" spans="1:11" ht="15" thickBot="1" x14ac:dyDescent="0.35">
      <c r="A2" s="34" t="s">
        <v>103</v>
      </c>
      <c r="B2" s="39">
        <v>440117620</v>
      </c>
      <c r="D2" s="44" t="s">
        <v>118</v>
      </c>
      <c r="E2" s="50" t="s">
        <v>120</v>
      </c>
      <c r="F2" s="50"/>
      <c r="G2" s="51"/>
    </row>
    <row r="3" spans="1:11" x14ac:dyDescent="0.3">
      <c r="A3" s="35" t="s">
        <v>98</v>
      </c>
      <c r="B3" s="36" t="str">
        <f>NumeroTVA(B2)</f>
        <v>FR27440117620</v>
      </c>
      <c r="D3" s="43" t="s">
        <v>119</v>
      </c>
    </row>
    <row r="4" spans="1:11" x14ac:dyDescent="0.3">
      <c r="A4" s="35" t="s">
        <v>99</v>
      </c>
      <c r="B4" s="36" t="b">
        <f>tva_valid(B3)</f>
        <v>1</v>
      </c>
    </row>
    <row r="5" spans="1:11" ht="15" thickBot="1" x14ac:dyDescent="0.35">
      <c r="A5" s="37" t="s">
        <v>100</v>
      </c>
      <c r="B5" s="38" t="str">
        <f>tva_name(B3)</f>
        <v>SA GRTGAZ</v>
      </c>
    </row>
    <row r="6" spans="1:11" s="1" customFormat="1" ht="15" thickBot="1" x14ac:dyDescent="0.35">
      <c r="A6" s="31"/>
      <c r="B6" s="31"/>
      <c r="C6" s="5"/>
      <c r="D6" s="5"/>
      <c r="E6" s="5"/>
    </row>
    <row r="7" spans="1:11" ht="16.2" thickBot="1" x14ac:dyDescent="0.35">
      <c r="A7" s="48" t="s">
        <v>123</v>
      </c>
      <c r="B7" s="49"/>
    </row>
    <row r="8" spans="1:11" ht="15" thickBot="1" x14ac:dyDescent="0.35">
      <c r="A8" s="45" t="s">
        <v>101</v>
      </c>
      <c r="B8" s="46" t="s">
        <v>102</v>
      </c>
    </row>
    <row r="9" spans="1:11" s="33" customFormat="1" x14ac:dyDescent="0.3">
      <c r="A9" s="32" t="s">
        <v>140</v>
      </c>
      <c r="B9" s="5" t="s">
        <v>135</v>
      </c>
      <c r="C9" s="5" t="s">
        <v>136</v>
      </c>
      <c r="D9" s="5" t="s">
        <v>137</v>
      </c>
      <c r="E9" s="5" t="s">
        <v>138</v>
      </c>
    </row>
    <row r="10" spans="1:11" x14ac:dyDescent="0.3">
      <c r="A10" s="5" t="s">
        <v>139</v>
      </c>
      <c r="E10" s="40"/>
      <c r="G10" s="1"/>
      <c r="H10" s="1"/>
      <c r="I10" s="1"/>
      <c r="J10" s="1"/>
      <c r="K10" s="1"/>
    </row>
    <row r="11" spans="1:11" x14ac:dyDescent="0.3">
      <c r="E11" s="40"/>
      <c r="F11" s="1"/>
      <c r="G11" s="1"/>
      <c r="H11" s="1"/>
      <c r="I11" s="1"/>
      <c r="J11" s="1"/>
      <c r="K11" s="1"/>
    </row>
    <row r="12" spans="1:11" x14ac:dyDescent="0.3">
      <c r="E12" s="40"/>
      <c r="F12" s="1"/>
      <c r="G12" s="1"/>
      <c r="H12" s="1"/>
      <c r="I12" s="1"/>
      <c r="J12" s="1"/>
      <c r="K12" s="1"/>
    </row>
    <row r="13" spans="1:11" x14ac:dyDescent="0.3">
      <c r="E13" s="40"/>
      <c r="F13" s="1"/>
      <c r="G13" s="1"/>
      <c r="H13" s="1"/>
    </row>
    <row r="14" spans="1:11" x14ac:dyDescent="0.3">
      <c r="E14" s="40"/>
      <c r="F14" s="1"/>
      <c r="G14" s="1"/>
      <c r="H14" s="1"/>
    </row>
    <row r="15" spans="1:11" x14ac:dyDescent="0.3">
      <c r="E15" s="40"/>
    </row>
    <row r="16" spans="1:11" x14ac:dyDescent="0.3">
      <c r="E16" s="40"/>
    </row>
    <row r="17" spans="5:5" x14ac:dyDescent="0.3">
      <c r="E17" s="40"/>
    </row>
    <row r="18" spans="5:5" x14ac:dyDescent="0.3">
      <c r="E18" s="40"/>
    </row>
    <row r="19" spans="5:5" x14ac:dyDescent="0.3">
      <c r="E19" s="40"/>
    </row>
    <row r="20" spans="5:5" x14ac:dyDescent="0.3">
      <c r="E20" s="40"/>
    </row>
    <row r="21" spans="5:5" x14ac:dyDescent="0.3">
      <c r="E21" s="40"/>
    </row>
    <row r="22" spans="5:5" x14ac:dyDescent="0.3">
      <c r="E22" s="40"/>
    </row>
    <row r="23" spans="5:5" x14ac:dyDescent="0.3">
      <c r="E23" s="40"/>
    </row>
    <row r="24" spans="5:5" x14ac:dyDescent="0.3">
      <c r="E24" s="40"/>
    </row>
    <row r="25" spans="5:5" x14ac:dyDescent="0.3">
      <c r="E25" s="40"/>
    </row>
    <row r="26" spans="5:5" x14ac:dyDescent="0.3">
      <c r="E26" s="40"/>
    </row>
    <row r="27" spans="5:5" x14ac:dyDescent="0.3">
      <c r="E27" s="40"/>
    </row>
    <row r="28" spans="5:5" x14ac:dyDescent="0.3">
      <c r="E28" s="40"/>
    </row>
    <row r="29" spans="5:5" x14ac:dyDescent="0.3">
      <c r="E29" s="40"/>
    </row>
    <row r="31" spans="5:5" x14ac:dyDescent="0.3">
      <c r="E31" s="40"/>
    </row>
    <row r="32" spans="5:5" x14ac:dyDescent="0.3">
      <c r="E32" s="40"/>
    </row>
  </sheetData>
  <mergeCells count="3">
    <mergeCell ref="A1:B1"/>
    <mergeCell ref="E2:G2"/>
    <mergeCell ref="A7:B7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�� 
</file>

<file path=customXml/item3.xml>�� 
</file>

<file path=customXml/item4.xml>�� 
</file>

<file path=customXml/itemProps1.xml><?xml version="1.0" encoding="utf-8"?>
<ds:datastoreItem xmlns:ds="http://schemas.openxmlformats.org/officeDocument/2006/customXml" ds:itemID="{40EE31FA-398C-4770-B0AF-E87BFC775FA5}">
  <ds:schemaRefs>
    <ds:schemaRef ds:uri="http://www.w3.org/2001/XMLSchema"/>
    <ds:schemaRef ds:uri="http://microsoft.data.visualization.Client.Excel.LState/1.0"/>
  </ds:schemaRefs>
</ds:datastoreItem>
</file>

<file path=customXml/itemProps2.xml><?xml version="1.0" encoding="utf-8"?>
<ds:datastoreItem xmlns:ds="http://schemas.openxmlformats.org/officeDocument/2006/customXml" ds:itemID="{7845F550-CDF4-439E-846B-C849D0CFC16C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56A915D2-3A39-483C-A332-5870C7EBA58C}">
  <ds:schemaRefs>
    <ds:schemaRef ds:uri="http://www.w3.org/2001/XMLSchema"/>
    <ds:schemaRef ds:uri="http://microsoft.data.visualization.engine.tours/1.0"/>
  </ds:schemaRefs>
</ds:datastoreItem>
</file>

<file path=customXml/itemProps4.xml><?xml version="1.0" encoding="utf-8"?>
<ds:datastoreItem xmlns:ds="http://schemas.openxmlformats.org/officeDocument/2006/customXml" ds:itemID="{454F8292-BFA9-4914-A7FC-617A0915B2F1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3</vt:i4>
      </vt:variant>
    </vt:vector>
  </HeadingPairs>
  <TitlesOfParts>
    <vt:vector size="7" baseType="lpstr">
      <vt:lpstr>Vérification du Tableau</vt:lpstr>
      <vt:lpstr>Vérification à la volée</vt:lpstr>
      <vt:lpstr>Analyse</vt:lpstr>
      <vt:lpstr>Trouver un numéro de TVA FRANCE</vt:lpstr>
      <vt:lpstr>Access_Token</vt:lpstr>
      <vt:lpstr>NBLIGNE</vt:lpstr>
      <vt:lpstr>Recherche_Entreprise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RIOU Florent</dc:creator>
  <cp:lastModifiedBy>florent r</cp:lastModifiedBy>
  <cp:lastPrinted>2020-04-25T16:39:06Z</cp:lastPrinted>
  <dcterms:created xsi:type="dcterms:W3CDTF">2019-05-11T15:34:33Z</dcterms:created>
  <dcterms:modified xsi:type="dcterms:W3CDTF">2022-03-21T09:52:15Z</dcterms:modified>
</cp:coreProperties>
</file>